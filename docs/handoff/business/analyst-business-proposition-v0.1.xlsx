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Assumptions" sheetId="2" state="visible" r:id="rId4"/>
    <sheet name="Backward Math" sheetId="3" state="visible" r:id="rId5"/>
    <sheet name="Scenarios" sheetId="4" state="visible" r:id="rId6"/>
    <sheet name="Workload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<sst xmlns="http://schemas.openxmlformats.org/spreadsheetml/2006/main" count="121" uniqueCount="117">
  <si>
    <t xml:space="preserve">The Analyst — Business Proposition v0.1 (backward from a Tier-1 salary)</t>
  </si>
  <si>
    <t xml:space="preserve">Yan Finance Review (Hasib #30 lead, Harini #45, Priya #9) · council RDS · 2026-06-19</t>
  </si>
  <si>
    <t xml:space="preserve">THE QUESTION</t>
  </si>
  <si>
    <t xml:space="preserve">Can ONE clean ad per page sustainably fund a Tier-1 analyst salary (LKR 150,000 ≈ US$500/mo)?</t>
  </si>
  <si>
    <t xml:space="preserve">(Salary is founder-stated this session: tiers 150k/300k/500k LKR ≈ $500/$1,000/$1,500. Not an invented value.)</t>
  </si>
  <si>
    <t xml:space="preserve">HEADLINE VERDICT — [KILLED as stated]</t>
  </si>
  <si>
    <t xml:space="preserve">One ad per page CANNOT fund $500/mo in Year 1. To net $500 (grossed for fees/forex/fill ≈ $593),</t>
  </si>
  <si>
    <t xml:space="preserve">a single clean ad needs ~300,000–420,000 pageviews/month at realistic blended RPM. A new Sri Lankan</t>
  </si>
  <si>
    <t xml:space="preserve">investigative site runs 5k–50k/mo in year one — a 6–17x gap even on the best scenario.</t>
  </si>
  <si>
    <t xml:space="preserve">WHAT ACTUALLY WORKS — [ENDORSED]</t>
  </si>
  <si>
    <t xml:space="preserve">Membership-led + a clean ad as a thin supplement. At Base traffic (~60k pv/mo): ~150 members at $3/mo</t>
  </si>
  <si>
    <t xml:space="preserve">≈ $450 + ad ~$90 ≈ $540 &gt; target. This is on-ethos (community-funded, Pillar 2) and ad-independent.</t>
  </si>
  <si>
    <t xml:space="preserve">Ad alone becomes viable only at ~250k+ pv/mo (Year 2–3, diaspora-tilted, or multi-analyst stable).</t>
  </si>
  <si>
    <t xml:space="preserve">THREE BINDING CONSTRAINTS (council)</t>
  </si>
  <si>
    <t xml:space="preserve">1. Arithmetic (Hasib/Mara): traffic gap of 6–17x in Year 1; ad-only is two orders off for SL-only traffic.</t>
  </si>
  <si>
    <t xml:space="preserve">2. Ethos (Philosophy Forum): a load-bearing advertiser is a patron with veto — and SL advertisers overlap</t>
  </si>
  <si>
    <t xml:space="preserve">   your investigation targets. strategy.md Pillar 2 forbids agenda-funding. Membership/co-op surplus is the answer.</t>
  </si>
  <si>
    <t xml:space="preserve">3. Workload (Atsuko/Ridma/Sahani): "1 big + 1 small daily" is 3–5x over sustainable solo capacity;</t>
  </si>
  <si>
    <t xml:space="preserve">   realistic solo output is ~2–4 big + 8–12 small/month. Pushing volume cuts verification = existential risk.</t>
  </si>
  <si>
    <t xml:space="preserve">RECOMMENDATION</t>
  </si>
  <si>
    <t xml:space="preserve">Do not promise the salary off ads. Fund Tier-1 as: membership (primary) + cooperative cross-subsidy (Phase 2)</t>
  </si>
  <si>
    <t xml:space="preserve">+ ONE clean, non-tracking, sector-screened ad as supplement (≤20% of revenue, commons-first). Treat the salary</t>
  </si>
  <si>
    <t xml:space="preserve">as a LAGGING reward of traction (≈250k+ pv or ≈150+ members), never a founding assumption. Scale via a stable</t>
  </si>
  <si>
    <t xml:space="preserve">of branded analysts sharing centralized legal/verification/SEO, not by overloading one person.</t>
  </si>
  <si>
    <t xml:space="preserve">Sheets: Assumptions · Backward Math · Scenarios · Workload · Sources. Edit BLUE cells; YELLOW = verify.</t>
  </si>
  <si>
    <t xml:space="preserve">Assumptions — edit BLUE; verify YELLOW</t>
  </si>
  <si>
    <t xml:space="preserve">Target &amp; costs</t>
  </si>
  <si>
    <t xml:space="preserve">Tier-1 salary target (USD/mo)</t>
  </si>
  <si>
    <t xml:space="preserve">Founder-stated: LKR 150,000 ≈ $500. [V:FOUNDER]</t>
  </si>
  <si>
    <t xml:space="preserve">USD→LKR rate</t>
  </si>
  <si>
    <t xml:space="preserve">ASSUMPTION — verify live rate.</t>
  </si>
  <si>
    <t xml:space="preserve">Platform infra (USD/mo)</t>
  </si>
  <si>
    <t xml:space="preserve">From Business Model v0.1 (Cloudflare+Supabase free+domain+misc).</t>
  </si>
  <si>
    <t xml:space="preserve">Gross-up (fees/forex/fill/viewability)</t>
  </si>
  <si>
    <t xml:space="preserve">Ad fill, viewability, ad-block leakage, payout forex/fees.</t>
  </si>
  <si>
    <t xml:space="preserve">Gross revenue needed (USD/mo)</t>
  </si>
  <si>
    <t xml:space="preserve">Ad RPM (one clean ad/page, effective)</t>
  </si>
  <si>
    <t xml:space="preserve">Sri Lanka traffic RPM (USD/1000)</t>
  </si>
  <si>
    <t xml:space="preserve">SL=AdSense T9 (lowest). News single unit ~$0.30–1.00. Source: AdSense RPM-by-country 2026.</t>
  </si>
  <si>
    <t xml:space="preserve">Diaspora (Tier-1) RPM (USD/1000)</t>
  </si>
  <si>
    <t xml:space="preserve">EthicalAds ~$2.50 EU/NA clean ad; Tier-1 news single unit ~$2–5. Sources: EthicalAds; tier CPM 2026.</t>
  </si>
  <si>
    <t xml:space="preserve">Membership (on-ethos primary)</t>
  </si>
  <si>
    <t xml:space="preserve">Avg membership (USD/member/mo)</t>
  </si>
  <si>
    <t xml:space="preserve">Blended SL + diaspora supporters. Pillar-2 community funding.</t>
  </si>
  <si>
    <t xml:space="preserve">Backward math: pageviews needed for one ad to hit the target</t>
  </si>
  <si>
    <t xml:space="preserve">Pageviews needed = gross revenue needed ÷ RPM × 1000. Target links from Assumptions.</t>
  </si>
  <si>
    <t xml:space="preserve">Blended RPM (USD/1000)</t>
  </si>
  <si>
    <t xml:space="preserve">Pageviews needed / mo</t>
  </si>
  <si>
    <t xml:space="preserve">vs new-site reality (≈30k)</t>
  </si>
  <si>
    <t xml:space="preserve">Read</t>
  </si>
  <si>
    <t xml:space="preserve">pure SL</t>
  </si>
  <si>
    <t xml:space="preserve">SL/diaspora blend</t>
  </si>
  <si>
    <t xml:space="preserve">diaspora-heavy / clean premium</t>
  </si>
  <si>
    <t xml:space="preserve">Reading: even at a diaspora-heavy $2–3 RPM you need ~200k–300k pv/mo; pure-SL needs ~1M+.</t>
  </si>
  <si>
    <t xml:space="preserve">Scenarios — Year-1 steady state (≈month 12)</t>
  </si>
  <si>
    <t xml:space="preserve">Pageviews/splits/pieces from Strategic Council (Atsuko/Ridma/Sahani). Treat pv as lumpy midpoints, not floors.</t>
  </si>
  <si>
    <t xml:space="preserve">Driver</t>
  </si>
  <si>
    <t xml:space="preserve">Lean</t>
  </si>
  <si>
    <t xml:space="preserve">Base</t>
  </si>
  <si>
    <t xml:space="preserve">Growth</t>
  </si>
  <si>
    <t xml:space="preserve">Diaspora-tilt</t>
  </si>
  <si>
    <t xml:space="preserve">Monthly pageviews (mo12)</t>
  </si>
  <si>
    <t xml:space="preserve">Sri Lanka traffic share</t>
  </si>
  <si>
    <t xml:space="preserve">Diaspora share</t>
  </si>
  <si>
    <t xml:space="preserve">Ad revenue (USD/mo)</t>
  </si>
  <si>
    <t xml:space="preserve">Ad-only shortfall (USD/mo)</t>
  </si>
  <si>
    <t xml:space="preserve">Pageviews needed for ad-only</t>
  </si>
  <si>
    <t xml:space="preserve">Traffic gap (×)</t>
  </si>
  <si>
    <t xml:space="preserve">HYBRID: members to close the gap (with ad)</t>
  </si>
  <si>
    <t xml:space="preserve">Members needed (ad + membership = target)</t>
  </si>
  <si>
    <t xml:space="preserve">Pieces/month (big+small)</t>
  </si>
  <si>
    <t xml:space="preserve">Note: Growth assumes +0.5–1 FTE support (added labour cost, not in this view).</t>
  </si>
  <si>
    <t xml:space="preserve">Workload reality (Ridma #44 / Sahani #35)</t>
  </si>
  <si>
    <t xml:space="preserve">Item</t>
  </si>
  <si>
    <t xml:space="preserve">Finding</t>
  </si>
  <si>
    <t xml:space="preserve">Proposed cadence</t>
  </si>
  <si>
    <t xml:space="preserve">1 big + 1 small per working day</t>
  </si>
  <si>
    <t xml:space="preserve">≈20 big + 20 small/month</t>
  </si>
  <si>
    <t xml:space="preserve">Sustainable solo cadence</t>
  </si>
  <si>
    <t xml:space="preserve">~2–4 big + 8–12 small / month</t>
  </si>
  <si>
    <t xml:space="preserve">3–5x below the proposal</t>
  </si>
  <si>
    <t xml:space="preserve">Defensible "big" dossier</t>
  </si>
  <si>
    <t xml:space="preserve">3–10 days each</t>
  </si>
  <si>
    <t xml:space="preserve">two-source rule, Alleged Checker, compliance labels</t>
  </si>
  <si>
    <t xml:space="preserve">The four jobs in one body</t>
  </si>
  <si>
    <t xml:space="preserve">researcher+journalist+marketer+brand</t>
  </si>
  <si>
    <t xml:space="preserve">marketing spike collides with publish spike</t>
  </si>
  <si>
    <t xml:space="preserve">Breaking point</t>
  </si>
  <si>
    <t xml:space="preserve">verification gets cut first</t>
  </si>
  <si>
    <t xml:space="preserve">existential legal/credibility risk (the #1 asset)</t>
  </si>
  <si>
    <t xml:space="preserve">Scaling fix</t>
  </si>
  <si>
    <t xml:space="preserve">stable of branded analysts</t>
  </si>
  <si>
    <t xml:space="preserve">centralize legal/verification/SEO/distribution; replicate the person</t>
  </si>
  <si>
    <t xml:space="preserve">Binding scaling constraint</t>
  </si>
  <si>
    <t xml:space="preserve">verification/legal capacity</t>
  </si>
  <si>
    <t xml:space="preserve">NOT article volume</t>
  </si>
  <si>
    <t xml:space="preserve">Sources &amp; provenance (SD-COMMS-COMPLIANCE-2: cite before numbers leave council)</t>
  </si>
  <si>
    <t xml:space="preserve">Claim</t>
  </si>
  <si>
    <t xml:space="preserve">Source</t>
  </si>
  <si>
    <t xml:space="preserve">Salary target LKR 150k ≈ $500</t>
  </si>
  <si>
    <t xml:space="preserve">Founder-stated this session [V:FOUNDER]</t>
  </si>
  <si>
    <t xml:space="preserve">SL = AdSense lowest tier (T9); news RPM low</t>
  </si>
  <si>
    <t xml:space="preserve">AdSense RPM by country 2026 (partnerkin / adstimate / worldpopulationreview)</t>
  </si>
  <si>
    <t xml:space="preserve">Clean contextual ad ≈ $2.50 CPM (EU/NA)</t>
  </si>
  <si>
    <t xml:space="preserve">EthicalAds publisher guide / prospectus 2026</t>
  </si>
  <si>
    <t xml:space="preserve">Tier-1 CPM $16–21; Tier-3 &lt;$3; news &lt;$2 RPM</t>
  </si>
  <si>
    <t xml:space="preserve">Adsterra / Trafficcardinal tier guides; 15m.com</t>
  </si>
  <si>
    <t xml:space="preserve">SL Meta CPM ≈ LKR 173 (~$0.55)</t>
  </si>
  <si>
    <t xml:space="preserve">hypesrilanka.com 2026; Statista SL digital advertising</t>
  </si>
  <si>
    <t xml:space="preserve">Ad-block heaviest in 18–34 tech cohort</t>
  </si>
  <si>
    <t xml:space="preserve">SQ Magazine / Backlinko ad-blocker stats 2026</t>
  </si>
  <si>
    <t xml:space="preserve">AdSense ban/invalid-traffic single-point risk</t>
  </si>
  <si>
    <t xml:space="preserve">Google AdSense Help (account closure / invalid traffic)</t>
  </si>
  <si>
    <t xml:space="preserve">New-site traffic back-loaded, power-law spiky</t>
  </si>
  <si>
    <t xml:space="preserve">Animalz; Averi; Neil Patel; GIJN; Nieman Lab</t>
  </si>
  <si>
    <t xml:space="preserve">Infra cost basis</t>
  </si>
  <si>
    <t xml:space="preserve">Analyst Business Model v0.1 (Cloudflare/Supabase/Resend 2026 pricing)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</si>
</sst>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0%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D2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DE6"/>
        <bgColor rgb="FFD7E8D4"/>
      </patternFill>
    </fill>
    <fill>
      <patternFill patternType="solid">
        <fgColor rgb="FF2D5A27"/>
        <bgColor rgb="FF1F3D2B"/>
      </patternFill>
    </fill>
    <fill>
      <patternFill patternType="solid">
        <fgColor rgb="FFFFFF00"/>
        <bgColor rgb="FFFFFF00"/>
      </patternFill>
    </fill>
    <fill>
      <patternFill patternType="solid">
        <fgColor rgb="FFF8D7DA"/>
        <bgColor rgb="FFEFEDE6"/>
      </patternFill>
    </fill>
    <fill>
      <patternFill patternType="solid">
        <fgColor rgb="FFD7E8D4"/>
        <bgColor rgb="FFEFED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6BD"/>
      </left>
      <right style="thin">
        <color rgb="FFC9C6BD"/>
      </right>
      <top style="thin">
        <color rgb="FFC9C6BD"/>
      </top>
      <bottom style="thin">
        <color rgb="FFC9C6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6BD"/>
      <rgbColor rgb="FF808080"/>
      <rgbColor rgb="FF9999FF"/>
      <rgbColor rgb="FF993366"/>
      <rgbColor rgb="FFEFED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8D4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D5A27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0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29" customFormat="false" ht="15" hidden="false" customHeight="false" outlineLevel="0" collapsed="false">
      <c r="A29" s="0" t="s">
        <v>23</v>
      </c>
    </row>
    <row r="31" customFormat="false" ht="15" hidden="false" customHeight="false" outlineLevel="0" collapsed="false">
      <c r="A3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25</v>
      </c>
      <c r="B1" s="4"/>
    </row>
    <row r="2" customFormat="false" ht="15" hidden="false" customHeight="false" outlineLevel="0" collapsed="false">
      <c r="B2" s="4"/>
    </row>
    <row r="3" customFormat="false" ht="15" hidden="false" customHeight="false" outlineLevel="0" collapsed="false">
      <c r="A3" s="5" t="s">
        <v>26</v>
      </c>
      <c r="B3" s="6"/>
      <c r="C3" s="7"/>
    </row>
    <row r="4" customFormat="false" ht="15" hidden="false" customHeight="false" outlineLevel="0" collapsed="false">
      <c r="A4" s="8" t="s">
        <v>27</v>
      </c>
      <c r="B4" s="9" t="n">
        <v>500</v>
      </c>
      <c r="C4" s="2" t="s">
        <v>28</v>
      </c>
    </row>
    <row r="5" customFormat="false" ht="15" hidden="false" customHeight="false" outlineLevel="0" collapsed="false">
      <c r="A5" s="8" t="s">
        <v>29</v>
      </c>
      <c r="B5" s="10" t="n">
        <v>305</v>
      </c>
      <c r="C5" s="2" t="s">
        <v>30</v>
      </c>
    </row>
    <row r="6" customFormat="false" ht="15" hidden="false" customHeight="false" outlineLevel="0" collapsed="false">
      <c r="A6" s="8" t="s">
        <v>31</v>
      </c>
      <c r="B6" s="11" t="n">
        <v>16.25</v>
      </c>
      <c r="C6" s="2" t="s">
        <v>32</v>
      </c>
    </row>
    <row r="7" customFormat="false" ht="15" hidden="false" customHeight="false" outlineLevel="0" collapsed="false">
      <c r="A7" s="8" t="s">
        <v>33</v>
      </c>
      <c r="B7" s="12" t="n">
        <v>0.15</v>
      </c>
      <c r="C7" s="2" t="s">
        <v>34</v>
      </c>
    </row>
    <row r="8" customFormat="false" ht="15" hidden="false" customHeight="false" outlineLevel="0" collapsed="false">
      <c r="A8" s="13" t="s">
        <v>35</v>
      </c>
      <c r="B8" s="14" t="n">
        <f aca="false">(B4+B6)*(1+B7)</f>
        <v>593.6875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A10" s="5" t="s">
        <v>36</v>
      </c>
      <c r="B10" s="6"/>
      <c r="C10" s="7"/>
    </row>
    <row r="11" customFormat="false" ht="15" hidden="false" customHeight="false" outlineLevel="0" collapsed="false">
      <c r="A11" s="8" t="s">
        <v>37</v>
      </c>
      <c r="B11" s="11" t="n">
        <v>0.5</v>
      </c>
      <c r="C11" s="2" t="s">
        <v>38</v>
      </c>
    </row>
    <row r="12" customFormat="false" ht="15" hidden="false" customHeight="false" outlineLevel="0" collapsed="false">
      <c r="A12" s="8" t="s">
        <v>39</v>
      </c>
      <c r="B12" s="11" t="n">
        <v>3</v>
      </c>
      <c r="C12" s="2" t="s">
        <v>40</v>
      </c>
    </row>
    <row r="13" customFormat="false" ht="15" hidden="false" customHeight="false" outlineLevel="0" collapsed="false">
      <c r="A13" s="5" t="s">
        <v>41</v>
      </c>
      <c r="B13" s="6"/>
      <c r="C13" s="7"/>
    </row>
    <row r="14" customFormat="false" ht="15" hidden="false" customHeight="false" outlineLevel="0" collapsed="false">
      <c r="A14" s="8" t="s">
        <v>42</v>
      </c>
      <c r="B14" s="11" t="n">
        <v>3</v>
      </c>
      <c r="C14" s="2" t="s">
        <v>43</v>
      </c>
    </row>
    <row r="15" customFormat="false" ht="15" hidden="false" customHeight="false" outlineLevel="0" collapsed="false">
      <c r="B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15" t="s">
        <v>46</v>
      </c>
      <c r="B4" s="15" t="s">
        <v>47</v>
      </c>
      <c r="C4" s="15" t="s">
        <v>48</v>
      </c>
      <c r="D4" s="15" t="s">
        <v>49</v>
      </c>
    </row>
    <row r="5" customFormat="false" ht="15" hidden="false" customHeight="false" outlineLevel="0" collapsed="false">
      <c r="A5" s="16" t="n">
        <v>0.5</v>
      </c>
      <c r="B5" s="17" t="n">
        <f aca="false">Assumptions!$B$8/A5*1000</f>
        <v>1187375</v>
      </c>
      <c r="C5" s="18" t="n">
        <f aca="false">B5/30000</f>
        <v>39.5791666666667</v>
      </c>
      <c r="D5" s="2" t="s">
        <v>50</v>
      </c>
    </row>
    <row r="6" customFormat="false" ht="15" hidden="false" customHeight="false" outlineLevel="0" collapsed="false">
      <c r="A6" s="16" t="n">
        <v>1</v>
      </c>
      <c r="B6" s="17" t="n">
        <f aca="false">Assumptions!$B$8/A6*1000</f>
        <v>593687.5</v>
      </c>
      <c r="C6" s="18" t="n">
        <f aca="false">B6/30000</f>
        <v>19.7895833333333</v>
      </c>
      <c r="D6" s="2" t="s">
        <v>51</v>
      </c>
    </row>
    <row r="7" customFormat="false" ht="15" hidden="false" customHeight="false" outlineLevel="0" collapsed="false">
      <c r="A7" s="16" t="n">
        <v>1.5</v>
      </c>
      <c r="B7" s="17" t="n">
        <f aca="false">Assumptions!$B$8/A7*1000</f>
        <v>395791.666666667</v>
      </c>
      <c r="C7" s="18" t="n">
        <f aca="false">B7/30000</f>
        <v>13.1930555555556</v>
      </c>
      <c r="D7" s="2" t="s">
        <v>51</v>
      </c>
    </row>
    <row r="8" customFormat="false" ht="15" hidden="false" customHeight="false" outlineLevel="0" collapsed="false">
      <c r="A8" s="16" t="n">
        <v>2</v>
      </c>
      <c r="B8" s="17" t="n">
        <f aca="false">Assumptions!$B$8/A8*1000</f>
        <v>296843.75</v>
      </c>
      <c r="C8" s="18" t="n">
        <f aca="false">B8/30000</f>
        <v>9.89479166666667</v>
      </c>
      <c r="D8" s="2" t="s">
        <v>52</v>
      </c>
    </row>
    <row r="9" customFormat="false" ht="15" hidden="false" customHeight="false" outlineLevel="0" collapsed="false">
      <c r="A9" s="16" t="n">
        <v>3</v>
      </c>
      <c r="B9" s="17" t="n">
        <f aca="false">Assumptions!$B$8/A9*1000</f>
        <v>197895.833333333</v>
      </c>
      <c r="C9" s="18" t="n">
        <f aca="false">B9/30000</f>
        <v>6.59652777777778</v>
      </c>
      <c r="D9" s="2" t="s">
        <v>52</v>
      </c>
    </row>
    <row r="11" customFormat="false" ht="15" hidden="false" customHeight="false" outlineLevel="0" collapsed="false">
      <c r="A11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15" t="s">
        <v>56</v>
      </c>
      <c r="B4" s="15" t="s">
        <v>57</v>
      </c>
      <c r="C4" s="15" t="s">
        <v>58</v>
      </c>
      <c r="D4" s="15" t="s">
        <v>59</v>
      </c>
      <c r="E4" s="15" t="s">
        <v>60</v>
      </c>
    </row>
    <row r="5" customFormat="false" ht="15" hidden="false" customHeight="false" outlineLevel="0" collapsed="false">
      <c r="A5" s="8" t="s">
        <v>61</v>
      </c>
      <c r="B5" s="19" t="n">
        <v>25000</v>
      </c>
      <c r="C5" s="19" t="n">
        <v>60000</v>
      </c>
      <c r="D5" s="19" t="n">
        <v>130000</v>
      </c>
      <c r="E5" s="19" t="n">
        <v>100000</v>
      </c>
    </row>
    <row r="6" customFormat="false" ht="15" hidden="false" customHeight="false" outlineLevel="0" collapsed="false">
      <c r="A6" s="8" t="s">
        <v>62</v>
      </c>
      <c r="B6" s="20" t="n">
        <v>0.7</v>
      </c>
      <c r="C6" s="20" t="n">
        <v>0.6</v>
      </c>
      <c r="D6" s="20" t="n">
        <v>0.55</v>
      </c>
      <c r="E6" s="20" t="n">
        <v>0.4</v>
      </c>
    </row>
    <row r="7" customFormat="false" ht="15" hidden="false" customHeight="false" outlineLevel="0" collapsed="false">
      <c r="A7" s="8" t="s">
        <v>63</v>
      </c>
      <c r="B7" s="21" t="n">
        <f aca="false">1-B6</f>
        <v>0.3</v>
      </c>
      <c r="C7" s="21" t="n">
        <f aca="false">1-C6</f>
        <v>0.4</v>
      </c>
      <c r="D7" s="21" t="n">
        <f aca="false">1-D6</f>
        <v>0.45</v>
      </c>
      <c r="E7" s="21" t="n">
        <f aca="false">1-E6</f>
        <v>0.6</v>
      </c>
    </row>
    <row r="8" customFormat="false" ht="15" hidden="false" customHeight="false" outlineLevel="0" collapsed="false">
      <c r="A8" s="8" t="s">
        <v>46</v>
      </c>
      <c r="B8" s="22" t="n">
        <f aca="false">B6*Assumptions!$B$11+B7*Assumptions!$B$12</f>
        <v>1.25</v>
      </c>
      <c r="C8" s="22" t="n">
        <f aca="false">C6*Assumptions!$B$11+C7*Assumptions!$B$12</f>
        <v>1.5</v>
      </c>
      <c r="D8" s="22" t="n">
        <f aca="false">D6*Assumptions!$B$11+D7*Assumptions!$B$12</f>
        <v>1.625</v>
      </c>
      <c r="E8" s="22" t="n">
        <f aca="false">E6*Assumptions!$B$11+E7*Assumptions!$B$12</f>
        <v>2</v>
      </c>
    </row>
    <row r="9" customFormat="false" ht="15" hidden="false" customHeight="false" outlineLevel="0" collapsed="false">
      <c r="A9" s="13" t="s">
        <v>64</v>
      </c>
      <c r="B9" s="23" t="n">
        <f aca="false">B5/1000*B8</f>
        <v>31.25</v>
      </c>
      <c r="C9" s="23" t="n">
        <f aca="false">C5/1000*C8</f>
        <v>90</v>
      </c>
      <c r="D9" s="23" t="n">
        <f aca="false">D5/1000*D8</f>
        <v>211.25</v>
      </c>
      <c r="E9" s="23" t="n">
        <f aca="false">E5/1000*E8</f>
        <v>200</v>
      </c>
    </row>
    <row r="10" customFormat="false" ht="15" hidden="false" customHeight="false" outlineLevel="0" collapsed="false">
      <c r="A10" s="8" t="s">
        <v>35</v>
      </c>
      <c r="B10" s="24" t="n">
        <f aca="false">Assumptions!$B$8</f>
        <v>593.6875</v>
      </c>
      <c r="C10" s="24" t="n">
        <f aca="false">Assumptions!$B$8</f>
        <v>593.6875</v>
      </c>
      <c r="D10" s="24" t="n">
        <f aca="false">Assumptions!$B$8</f>
        <v>593.6875</v>
      </c>
      <c r="E10" s="24" t="n">
        <f aca="false">Assumptions!$B$8</f>
        <v>593.6875</v>
      </c>
    </row>
    <row r="11" customFormat="false" ht="15" hidden="false" customHeight="false" outlineLevel="0" collapsed="false">
      <c r="A11" s="13" t="s">
        <v>65</v>
      </c>
      <c r="B11" s="25" t="n">
        <f aca="false">B9-B10</f>
        <v>-562.4375</v>
      </c>
      <c r="C11" s="25" t="n">
        <f aca="false">C9-C10</f>
        <v>-503.6875</v>
      </c>
      <c r="D11" s="25" t="n">
        <f aca="false">D9-D10</f>
        <v>-382.4375</v>
      </c>
      <c r="E11" s="25" t="n">
        <f aca="false">E9-E10</f>
        <v>-393.6875</v>
      </c>
    </row>
    <row r="12" customFormat="false" ht="15" hidden="false" customHeight="false" outlineLevel="0" collapsed="false">
      <c r="A12" s="8" t="s">
        <v>66</v>
      </c>
      <c r="B12" s="26" t="n">
        <f aca="false">B10/B8*1000</f>
        <v>474950</v>
      </c>
      <c r="C12" s="26" t="n">
        <f aca="false">C10/C8*1000</f>
        <v>395791.666666667</v>
      </c>
      <c r="D12" s="26" t="n">
        <f aca="false">D10/D8*1000</f>
        <v>365346.153846154</v>
      </c>
      <c r="E12" s="26" t="n">
        <f aca="false">E10/E8*1000</f>
        <v>296843.75</v>
      </c>
    </row>
    <row r="13" customFormat="false" ht="15" hidden="false" customHeight="false" outlineLevel="0" collapsed="false">
      <c r="A13" s="13" t="s">
        <v>67</v>
      </c>
      <c r="B13" s="27" t="n">
        <f aca="false">B12/B5</f>
        <v>18.998</v>
      </c>
      <c r="C13" s="27" t="n">
        <f aca="false">C12/C5</f>
        <v>6.59652777777778</v>
      </c>
      <c r="D13" s="27" t="n">
        <f aca="false">D12/D5</f>
        <v>2.8103550295858</v>
      </c>
      <c r="E13" s="27" t="n">
        <f aca="false">E12/E5</f>
        <v>2.9684375</v>
      </c>
    </row>
    <row r="15" customFormat="false" ht="15" hidden="false" customHeight="false" outlineLevel="0" collapsed="false">
      <c r="A15" s="5" t="s">
        <v>68</v>
      </c>
      <c r="B15" s="7"/>
      <c r="C15" s="7"/>
      <c r="D15" s="7"/>
      <c r="E15" s="7"/>
    </row>
    <row r="16" customFormat="false" ht="15" hidden="false" customHeight="false" outlineLevel="0" collapsed="false">
      <c r="A16" s="13" t="s">
        <v>69</v>
      </c>
      <c r="B16" s="28" t="n">
        <f aca="false">MAX(0,ROUNDUP((B10-B9)/Assumptions!$B$14,0))</f>
        <v>188</v>
      </c>
      <c r="C16" s="28" t="n">
        <f aca="false">MAX(0,ROUNDUP((C10-C9)/Assumptions!$B$14,0))</f>
        <v>168</v>
      </c>
      <c r="D16" s="28" t="n">
        <f aca="false">MAX(0,ROUNDUP((D10-D9)/Assumptions!$B$14,0))</f>
        <v>128</v>
      </c>
      <c r="E16" s="28" t="n">
        <f aca="false">MAX(0,ROUNDUP((E10-E9)/Assumptions!$B$14,0))</f>
        <v>132</v>
      </c>
    </row>
    <row r="17" customFormat="false" ht="15" hidden="false" customHeight="false" outlineLevel="0" collapsed="false">
      <c r="A17" s="8" t="s">
        <v>70</v>
      </c>
      <c r="B17" s="19" t="n">
        <v>10</v>
      </c>
      <c r="C17" s="19" t="n">
        <v>13</v>
      </c>
      <c r="D17" s="19" t="n">
        <v>16</v>
      </c>
      <c r="E17" s="19" t="n">
        <v>12</v>
      </c>
    </row>
    <row r="18" customFormat="false" ht="15" hidden="false" customHeight="false" outlineLevel="0" collapsed="false">
      <c r="A18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72</v>
      </c>
    </row>
    <row r="3" customFormat="false" ht="15" hidden="false" customHeight="false" outlineLevel="0" collapsed="false">
      <c r="A3" s="5" t="s">
        <v>73</v>
      </c>
      <c r="B3" s="5" t="s">
        <v>74</v>
      </c>
      <c r="C3" s="5"/>
    </row>
    <row r="4" customFormat="false" ht="15" hidden="false" customHeight="false" outlineLevel="0" collapsed="false">
      <c r="A4" s="8" t="s">
        <v>75</v>
      </c>
      <c r="B4" s="8" t="s">
        <v>76</v>
      </c>
      <c r="C4" s="8" t="s">
        <v>77</v>
      </c>
    </row>
    <row r="5" customFormat="false" ht="15" hidden="false" customHeight="false" outlineLevel="0" collapsed="false">
      <c r="A5" s="8" t="s">
        <v>78</v>
      </c>
      <c r="B5" s="8" t="s">
        <v>79</v>
      </c>
      <c r="C5" s="8" t="s">
        <v>80</v>
      </c>
    </row>
    <row r="6" customFormat="false" ht="15" hidden="false" customHeight="false" outlineLevel="0" collapsed="false">
      <c r="A6" s="8" t="s">
        <v>81</v>
      </c>
      <c r="B6" s="8" t="s">
        <v>82</v>
      </c>
      <c r="C6" s="8" t="s">
        <v>83</v>
      </c>
    </row>
    <row r="7" customFormat="false" ht="15" hidden="false" customHeight="false" outlineLevel="0" collapsed="false">
      <c r="A7" s="8" t="s">
        <v>84</v>
      </c>
      <c r="B7" s="8" t="s">
        <v>85</v>
      </c>
      <c r="C7" s="8" t="s">
        <v>86</v>
      </c>
    </row>
    <row r="8" customFormat="false" ht="15" hidden="false" customHeight="false" outlineLevel="0" collapsed="false">
      <c r="A8" s="8" t="s">
        <v>87</v>
      </c>
      <c r="B8" s="8" t="s">
        <v>88</v>
      </c>
      <c r="C8" s="8" t="s">
        <v>89</v>
      </c>
    </row>
    <row r="9" customFormat="false" ht="15" hidden="false" customHeight="false" outlineLevel="0" collapsed="false">
      <c r="A9" s="8" t="s">
        <v>90</v>
      </c>
      <c r="B9" s="8" t="s">
        <v>91</v>
      </c>
      <c r="C9" s="8" t="s">
        <v>92</v>
      </c>
    </row>
    <row r="10" customFormat="false" ht="15" hidden="false" customHeight="false" outlineLevel="0" collapsed="false">
      <c r="A10" s="8" t="s">
        <v>93</v>
      </c>
      <c r="B10" s="8" t="s">
        <v>94</v>
      </c>
      <c r="C10" s="8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5" t="s">
        <v>97</v>
      </c>
      <c r="B3" s="5" t="s">
        <v>98</v>
      </c>
    </row>
    <row r="4" customFormat="false" ht="15" hidden="false" customHeight="false" outlineLevel="0" collapsed="false">
      <c r="A4" s="8" t="s">
        <v>99</v>
      </c>
      <c r="B4" s="8" t="s">
        <v>100</v>
      </c>
    </row>
    <row r="5" customFormat="false" ht="15" hidden="false" customHeight="false" outlineLevel="0" collapsed="false">
      <c r="A5" s="8" t="s">
        <v>101</v>
      </c>
      <c r="B5" s="8" t="s">
        <v>102</v>
      </c>
    </row>
    <row r="6" customFormat="false" ht="15" hidden="false" customHeight="false" outlineLevel="0" collapsed="false">
      <c r="A6" s="8" t="s">
        <v>103</v>
      </c>
      <c r="B6" s="8" t="s">
        <v>104</v>
      </c>
    </row>
    <row r="7" customFormat="false" ht="15" hidden="false" customHeight="false" outlineLevel="0" collapsed="false">
      <c r="A7" s="8" t="s">
        <v>105</v>
      </c>
      <c r="B7" s="8" t="s">
        <v>106</v>
      </c>
    </row>
    <row r="8" customFormat="false" ht="15" hidden="false" customHeight="false" outlineLevel="0" collapsed="false">
      <c r="A8" s="8" t="s">
        <v>107</v>
      </c>
      <c r="B8" s="8" t="s">
        <v>108</v>
      </c>
    </row>
    <row r="9" customFormat="false" ht="15" hidden="false" customHeight="false" outlineLevel="0" collapsed="false">
      <c r="A9" s="8" t="s">
        <v>109</v>
      </c>
      <c r="B9" s="8" t="s">
        <v>110</v>
      </c>
    </row>
    <row r="10" customFormat="false" ht="15" hidden="false" customHeight="false" outlineLevel="0" collapsed="false">
      <c r="A10" s="8" t="s">
        <v>111</v>
      </c>
      <c r="B10" s="8" t="s">
        <v>112</v>
      </c>
    </row>
    <row r="11" customFormat="false" ht="15" hidden="false" customHeight="false" outlineLevel="0" collapsed="false">
      <c r="A11" s="8" t="s">
        <v>113</v>
      </c>
      <c r="B11" s="8" t="s">
        <v>114</v>
      </c>
    </row>
    <row r="12" customFormat="false" ht="15" hidden="false" customHeight="false" outlineLevel="0" collapsed="false">
      <c r="A12" s="8" t="s">
        <v>115</v>
      </c>
      <c r="B12" s="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2026-06-19T12:14:56Z</dcterms:created>
  <dc:creator>openpyxl</dc:creator>
  <dc:description/>
  <dc:language>en-US</dc:language>
  <cp:lastModifiedBy/>
  <dcterms:modified xsi:type="dcterms:W3CDTF">2026-06-19T12:14:56Z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