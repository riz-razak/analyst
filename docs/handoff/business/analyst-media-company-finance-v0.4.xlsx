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Assumptions" sheetId="2" state="visible" r:id="rId4"/>
    <sheet name="Revenue to $600" sheetId="3" state="visible" r:id="rId5"/>
    <sheet name="Diaspora YT-Shorts" sheetId="4" state="visible" r:id="rId6"/>
    <sheet name="Cost &amp; Scaling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<sst xmlns="http://schemas.openxmlformats.org/spreadsheetml/2006/main" count="120" uniqueCount="119">
  <si>
    <t xml:space="preserve">The Analyst → Media Company — Finance v0.4 (path to $600, cost, scaling)</t>
  </si>
  <si>
    <t xml:space="preserve">Hasib #30 (lead), Harini #45 · 2 finance rounds · 2026-06-19 · prudent · diaspora-led</t>
  </si>
  <si>
    <t xml:space="preserve">ROUND 1 — fastest credible path to ~$600/mo</t>
  </si>
  <si>
    <t xml:space="preserve">Membership is the backbone (diaspora pays, by viewer location). $600 = 120 members @ $5 OR 60 @ $10.</t>
  </si>
  <si>
    <t xml:space="preserve">A realistic STACK (current inputs): 80 members @ $5 ($400) + YT long-form ($120) + diaspora display ($210) + Shorts/tips ($65) ≈ $795 — clears $600 with headroom.</t>
  </si>
  <si>
    <t xml:space="preserve">Shorts are ACQUISITION, not revenue (Shorts RPM ~$0.10). Their job is to fill the membership funnel from diaspora reach.</t>
  </si>
  <si>
    <t xml:space="preserve">Diaspora English traffic is the unlock: YouTube ~$8 RPM (US/UK audience) vs ~$0.70 domestic — a 6–10x multiplier.</t>
  </si>
  <si>
    <t xml:space="preserve">ROUND 2 — cost &amp; scaling</t>
  </si>
  <si>
    <t xml:space="preserve">Phase-1 burn (3–5 paid-per-piece contributors + shorts tools + infra) ≈ $400–650/mo — roughly the same as the revenue target.</t>
  </si>
  <si>
    <t xml:space="preserve">So Phase 1 ≈ breakeven by design: members fund the contributors who make the content that wins the members. Bootstrap loop.</t>
  </si>
  <si>
    <t xml:space="preserve">Scaling: per-contributor cost is variable (paid per accepted piece); central overhead/analyst falls as the roster grows.</t>
  </si>
  <si>
    <t xml:space="preserve">Binding constraint = verification capacity, not contributor count (Mara/Tech Review).</t>
  </si>
  <si>
    <t xml:space="preserve">VERDICT</t>
  </si>
  <si>
    <t xml:space="preserve">$600/mo is small and reachable on MEMBERSHIPS ALONE (~120 @ $5) — do not bet it on ads. Diaspora traffic exists to</t>
  </si>
  <si>
    <t xml:space="preserve">convert trust into membership. Build the Shorts funnel + Support-the-Desk button first; ads/YT compound later.</t>
  </si>
  <si>
    <t xml:space="preserve">Sheets: Assumptions · Revenue to $600 · Diaspora YT/Shorts · Cost &amp; Scaling · Sources. Tax: see v0.3 (Tier-1 ~tax-free).</t>
  </si>
  <si>
    <t xml:space="preserve">Assumptions — edit BLUE; prudent. Diaspora-led.</t>
  </si>
  <si>
    <t xml:space="preserve">Target</t>
  </si>
  <si>
    <t xml:space="preserve">Revenue target (USD/mo)</t>
  </si>
  <si>
    <t xml:space="preserve">founder: ~$600 fast</t>
  </si>
  <si>
    <t xml:space="preserve">Membership (backbone)</t>
  </si>
  <si>
    <t xml:space="preserve">Membership price low (USD/mo)</t>
  </si>
  <si>
    <t xml:space="preserve">diaspora supporter</t>
  </si>
  <si>
    <t xml:space="preserve">Membership price high (USD/mo)</t>
  </si>
  <si>
    <t xml:space="preserve">committed patron</t>
  </si>
  <si>
    <t xml:space="preserve">Assumed paying members</t>
  </si>
  <si>
    <t xml:space="preserve">editable</t>
  </si>
  <si>
    <t xml:space="preserve">Visitor→member conversion</t>
  </si>
  <si>
    <t xml:space="preserve">prudent 0.3–1%</t>
  </si>
  <si>
    <t xml:space="preserve">YouTube / Shorts (diaspora, by viewer location)</t>
  </si>
  <si>
    <t xml:space="preserve">YT long-form views/mo</t>
  </si>
  <si>
    <t xml:space="preserve">diaspora English news</t>
  </si>
  <si>
    <t xml:space="preserve">YT long-form RPM (USD/1000)</t>
  </si>
  <si>
    <t xml:space="preserve">English diaspora news; example $8 finance, prudent $4. India domestic $0.70.</t>
  </si>
  <si>
    <t xml:space="preserve">Shorts views/mo</t>
  </si>
  <si>
    <t xml:space="preserve">high-volume acquisition</t>
  </si>
  <si>
    <t xml:space="preserve">Shorts RPM (USD/1000)</t>
  </si>
  <si>
    <t xml:space="preserve">Shorts pay tiny — acquisition not revenue</t>
  </si>
  <si>
    <t xml:space="preserve">Display + tips</t>
  </si>
  <si>
    <t xml:space="preserve">Site pageviews/mo (diaspora-tilt)</t>
  </si>
  <si>
    <t xml:space="preserve">Display RPM (USD/1000)</t>
  </si>
  <si>
    <t xml:space="preserve">diaspora single clean ad, from v0.2</t>
  </si>
  <si>
    <t xml:space="preserve">Tips/donations (USD/mo)</t>
  </si>
  <si>
    <t xml:space="preserve">Ko-fi/BuyMeACoffee one-time spenders</t>
  </si>
  <si>
    <t xml:space="preserve">Cost — Phase 1 (paid per accepted piece)</t>
  </si>
  <si>
    <t xml:space="preserve">Contributors (paid per piece)</t>
  </si>
  <si>
    <t xml:space="preserve">Phase 1: 3–5, not 10</t>
  </si>
  <si>
    <t xml:space="preserve">Rate per big piece (USD)</t>
  </si>
  <si>
    <t xml:space="preserve">accepted big story</t>
  </si>
  <si>
    <t xml:space="preserve">Big pieces/mo (contributor-sourced)</t>
  </si>
  <si>
    <t xml:space="preserve">Rate per short/small (USD)</t>
  </si>
  <si>
    <t xml:space="preserve">accepted short/small</t>
  </si>
  <si>
    <t xml:space="preserve">Shorts/small pieces/mo (contributor)</t>
  </si>
  <si>
    <t xml:space="preserve">Tools + production (USD/mo)</t>
  </si>
  <si>
    <t xml:space="preserve">CapCut/hosting/design</t>
  </si>
  <si>
    <t xml:space="preserve">Platform infra (USD/mo)</t>
  </si>
  <si>
    <t xml:space="preserve">from v0.1</t>
  </si>
  <si>
    <t xml:space="preserve">Round 1 — the revenue stack to ~$600/mo</t>
  </si>
  <si>
    <t xml:space="preserve">Membership backbone + YT + display + tips. Edit members on Assumptions.</t>
  </si>
  <si>
    <t xml:space="preserve">Stream</t>
  </si>
  <si>
    <t xml:space="preserve">USD/mo</t>
  </si>
  <si>
    <t xml:space="preserve">Note</t>
  </si>
  <si>
    <t xml:space="preserve">Membership (members × $5)</t>
  </si>
  <si>
    <t xml:space="preserve">the backbone — diaspora supporters</t>
  </si>
  <si>
    <t xml:space="preserve">YouTube long-form ad rev</t>
  </si>
  <si>
    <t xml:space="preserve">diaspora RPM; compounds with subs</t>
  </si>
  <si>
    <t xml:space="preserve">Shorts ad rev</t>
  </si>
  <si>
    <t xml:space="preserve">tiny — acquisition, not revenue</t>
  </si>
  <si>
    <t xml:space="preserve">Display (site, diaspora)</t>
  </si>
  <si>
    <t xml:space="preserve">one clean ad</t>
  </si>
  <si>
    <t xml:space="preserve">Tips / donations</t>
  </si>
  <si>
    <t xml:space="preserve">one-time spenders</t>
  </si>
  <si>
    <t xml:space="preserve">TOTAL revenue (USD/mo)</t>
  </si>
  <si>
    <t xml:space="preserve">vs target</t>
  </si>
  <si>
    <t xml:space="preserve">Members alone to hit $600 @ $5 / @ $10</t>
  </si>
  <si>
    <t xml:space="preserve">Members implied by conversion × site pv</t>
  </si>
  <si>
    <t xml:space="preserve">Reading: 120 members @ $5 = $600 alone. The stack hits it with only ~80 members + modest YT/display/tips.</t>
  </si>
  <si>
    <t xml:space="preserve">Diaspora YouTube &amp; Shorts economics (by viewer location)</t>
  </si>
  <si>
    <t xml:space="preserve">YouTube pays on WHERE viewers are. English content to US/UK diaspora = Tier-1 RPM. Shorts pay tiny.</t>
  </si>
  <si>
    <t xml:space="preserve">Monthly views</t>
  </si>
  <si>
    <t xml:space="preserve">Long-form $ (@ $4)</t>
  </si>
  <si>
    <t xml:space="preserve">Shorts $ (@ $0.10)</t>
  </si>
  <si>
    <t xml:space="preserve">long-form = revenue; shorts = reach</t>
  </si>
  <si>
    <t xml:space="preserve">Takeaway: 300k long-form diaspora views ≈ $1,200/mo; 300k Shorts views ≈ $30. Long-form + membership pays; Shorts acquire.</t>
  </si>
  <si>
    <t xml:space="preserve">Round 2 — cost &amp; scaling</t>
  </si>
  <si>
    <t xml:space="preserve">Phase-1 cost (paid per accepted piece) then unit economics at 4 / 10 / 50 contributors.</t>
  </si>
  <si>
    <t xml:space="preserve">Phase-1 monthly cost</t>
  </si>
  <si>
    <t xml:space="preserve">Big pieces (n × rate)</t>
  </si>
  <si>
    <t xml:space="preserve">Shorts/small (n × rate)</t>
  </si>
  <si>
    <t xml:space="preserve">Tools + production</t>
  </si>
  <si>
    <t xml:space="preserve">Infra</t>
  </si>
  <si>
    <t xml:space="preserve">Phase-1 total cost (USD/mo)</t>
  </si>
  <si>
    <t xml:space="preserve">Phase-1 net (revenue − cost)</t>
  </si>
  <si>
    <t xml:space="preserve">Scaling unit economics</t>
  </si>
  <si>
    <t xml:space="preserve">Contributors</t>
  </si>
  <si>
    <t xml:space="preserve">4</t>
  </si>
  <si>
    <t xml:space="preserve">10</t>
  </si>
  <si>
    <t xml:space="preserve">50</t>
  </si>
  <si>
    <t xml:space="preserve">Pieces/mo (scales with contributors)</t>
  </si>
  <si>
    <t xml:space="preserve">Content cost (USD/mo)</t>
  </si>
  <si>
    <t xml:space="preserve">+ central overhead (USD/mo)</t>
  </si>
  <si>
    <t xml:space="preserve">Total cost (USD/mo)</t>
  </si>
  <si>
    <t xml:space="preserve">Members to cover (all-membership @ $5)</t>
  </si>
  <si>
    <t xml:space="preserve">Note: per-piece pay = variable cost (no idle salary). Overhead/contributor falls with scale. Verification capacity is the real ceiling.</t>
  </si>
  <si>
    <t xml:space="preserve">Sources</t>
  </si>
  <si>
    <t xml:space="preserve">Claim</t>
  </si>
  <si>
    <t xml:space="preserve">Source</t>
  </si>
  <si>
    <t xml:space="preserve">South Asian diaspora ~44M (India 18M, BD 7.4M, PK 6.3M; UAE 6.2M, US 6.1M, UK 4M, CA 3M)</t>
  </si>
  <si>
    <t xml:space="preserve">findeasy.in / Wikipedia South Asian diaspora (UN 2020–22)</t>
  </si>
  <si>
    <t xml:space="preserve">YouTube pays by viewer location; English diaspora ~$8 RPM vs India $0.70</t>
  </si>
  <si>
    <t xml:space="preserve">ytmoneycalculator / lenostube / fluxnote 2026</t>
  </si>
  <si>
    <t xml:space="preserve">Shorts RPM tiny (~$0.05–0.15)</t>
  </si>
  <si>
    <t xml:space="preserve">fluxnote YouTube Shorts RPM 2026</t>
  </si>
  <si>
    <t xml:space="preserve">Ada Derana ~3.8M subs / 176k videos; Hiru ~5.1M / 59k</t>
  </si>
  <si>
    <t xml:space="preserve">speakrj / Social Blade 2026 (aggregator est.)</t>
  </si>
  <si>
    <t xml:space="preserve">Display diaspora clean-ad RPM ~$1.76</t>
  </si>
  <si>
    <t xml:space="preserve">Business Proposition v0.2</t>
  </si>
  <si>
    <t xml:space="preserve">Tier-1 salary ~tax-free (LKR 1.8M relief)</t>
  </si>
  <si>
    <t xml:space="preserve">Business Proposition v0.3 / SL APIT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</si>
</sst>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\$#,##0.00;&quot;($&quot;#,##0.00\);\-"/>
    <numFmt numFmtId="167" formatCode="#,##0;\(#,##0\);\-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D2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FEDE6"/>
        <bgColor rgb="FFFCEFD2"/>
      </patternFill>
    </fill>
    <fill>
      <patternFill patternType="solid">
        <fgColor rgb="FF2D5A27"/>
        <bgColor rgb="FF1F3D2B"/>
      </patternFill>
    </fill>
    <fill>
      <patternFill patternType="solid">
        <fgColor rgb="FFFFFF00"/>
        <bgColor rgb="FFFFFF00"/>
      </patternFill>
    </fill>
    <fill>
      <patternFill patternType="solid">
        <fgColor rgb="FFD7E8D4"/>
        <bgColor rgb="FFEFEDE6"/>
      </patternFill>
    </fill>
    <fill>
      <patternFill patternType="solid">
        <fgColor rgb="FFFCEFD2"/>
        <bgColor rgb="FFEFED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6BD"/>
      </left>
      <right style="thin">
        <color rgb="FFC9C6BD"/>
      </right>
      <top style="thin">
        <color rgb="FFC9C6BD"/>
      </top>
      <bottom style="thin">
        <color rgb="FFC9C6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6BD"/>
      <rgbColor rgb="FF808080"/>
      <rgbColor rgb="FF9999FF"/>
      <rgbColor rgb="FF993366"/>
      <rgbColor rgb="FFFCEFD2"/>
      <rgbColor rgb="FFEFED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D5A27"/>
      <rgbColor rgb="FF993300"/>
      <rgbColor rgb="FF993366"/>
      <rgbColor rgb="FF333399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16</v>
      </c>
      <c r="B1" s="4"/>
    </row>
    <row r="2" customFormat="false" ht="15" hidden="false" customHeight="false" outlineLevel="0" collapsed="false">
      <c r="B2" s="4"/>
    </row>
    <row r="3" customFormat="false" ht="15" hidden="false" customHeight="false" outlineLevel="0" collapsed="false">
      <c r="A3" s="5" t="s">
        <v>17</v>
      </c>
      <c r="B3" s="6"/>
      <c r="C3" s="7"/>
    </row>
    <row r="4" customFormat="false" ht="15" hidden="false" customHeight="false" outlineLevel="0" collapsed="false">
      <c r="A4" s="8" t="s">
        <v>18</v>
      </c>
      <c r="B4" s="9" t="n">
        <v>600</v>
      </c>
      <c r="C4" s="2" t="s">
        <v>19</v>
      </c>
    </row>
    <row r="5" customFormat="false" ht="15" hidden="false" customHeight="false" outlineLevel="0" collapsed="false">
      <c r="A5" s="5" t="s">
        <v>20</v>
      </c>
      <c r="B5" s="6"/>
      <c r="C5" s="7"/>
    </row>
    <row r="6" customFormat="false" ht="15" hidden="false" customHeight="false" outlineLevel="0" collapsed="false">
      <c r="A6" s="8" t="s">
        <v>21</v>
      </c>
      <c r="B6" s="10" t="n">
        <v>5</v>
      </c>
      <c r="C6" s="2" t="s">
        <v>22</v>
      </c>
    </row>
    <row r="7" customFormat="false" ht="15" hidden="false" customHeight="false" outlineLevel="0" collapsed="false">
      <c r="A7" s="8" t="s">
        <v>23</v>
      </c>
      <c r="B7" s="10" t="n">
        <v>10</v>
      </c>
      <c r="C7" s="2" t="s">
        <v>24</v>
      </c>
    </row>
    <row r="8" customFormat="false" ht="15" hidden="false" customHeight="false" outlineLevel="0" collapsed="false">
      <c r="A8" s="8" t="s">
        <v>25</v>
      </c>
      <c r="B8" s="11" t="n">
        <v>80</v>
      </c>
      <c r="C8" s="2" t="s">
        <v>26</v>
      </c>
    </row>
    <row r="9" customFormat="false" ht="15" hidden="false" customHeight="false" outlineLevel="0" collapsed="false">
      <c r="A9" s="8" t="s">
        <v>27</v>
      </c>
      <c r="B9" s="12" t="n">
        <v>0.005</v>
      </c>
      <c r="C9" s="2" t="s">
        <v>28</v>
      </c>
    </row>
    <row r="10" customFormat="false" ht="15" hidden="false" customHeight="false" outlineLevel="0" collapsed="false">
      <c r="A10" s="5" t="s">
        <v>29</v>
      </c>
      <c r="B10" s="6"/>
      <c r="C10" s="7"/>
    </row>
    <row r="11" customFormat="false" ht="15" hidden="false" customHeight="false" outlineLevel="0" collapsed="false">
      <c r="A11" s="8" t="s">
        <v>30</v>
      </c>
      <c r="B11" s="13" t="n">
        <v>30000</v>
      </c>
      <c r="C11" s="2" t="s">
        <v>31</v>
      </c>
    </row>
    <row r="12" customFormat="false" ht="15" hidden="false" customHeight="false" outlineLevel="0" collapsed="false">
      <c r="A12" s="8" t="s">
        <v>32</v>
      </c>
      <c r="B12" s="10" t="n">
        <v>4</v>
      </c>
      <c r="C12" s="2" t="s">
        <v>33</v>
      </c>
    </row>
    <row r="13" customFormat="false" ht="15" hidden="false" customHeight="false" outlineLevel="0" collapsed="false">
      <c r="A13" s="8" t="s">
        <v>34</v>
      </c>
      <c r="B13" s="13" t="n">
        <v>300000</v>
      </c>
      <c r="C13" s="2" t="s">
        <v>35</v>
      </c>
    </row>
    <row r="14" customFormat="false" ht="15" hidden="false" customHeight="false" outlineLevel="0" collapsed="false">
      <c r="A14" s="8" t="s">
        <v>36</v>
      </c>
      <c r="B14" s="10" t="n">
        <v>0.1</v>
      </c>
      <c r="C14" s="2" t="s">
        <v>37</v>
      </c>
    </row>
    <row r="15" customFormat="false" ht="15" hidden="false" customHeight="false" outlineLevel="0" collapsed="false">
      <c r="A15" s="5" t="s">
        <v>38</v>
      </c>
      <c r="B15" s="6"/>
      <c r="C15" s="7"/>
    </row>
    <row r="16" customFormat="false" ht="15" hidden="false" customHeight="false" outlineLevel="0" collapsed="false">
      <c r="A16" s="8" t="s">
        <v>39</v>
      </c>
      <c r="B16" s="13" t="n">
        <v>120000</v>
      </c>
    </row>
    <row r="17" customFormat="false" ht="15" hidden="false" customHeight="false" outlineLevel="0" collapsed="false">
      <c r="A17" s="8" t="s">
        <v>40</v>
      </c>
      <c r="B17" s="10" t="n">
        <v>1.76</v>
      </c>
      <c r="C17" s="2" t="s">
        <v>41</v>
      </c>
    </row>
    <row r="18" customFormat="false" ht="15" hidden="false" customHeight="false" outlineLevel="0" collapsed="false">
      <c r="A18" s="8" t="s">
        <v>42</v>
      </c>
      <c r="B18" s="9" t="n">
        <v>35</v>
      </c>
      <c r="C18" s="2" t="s">
        <v>43</v>
      </c>
    </row>
    <row r="19" customFormat="false" ht="15" hidden="false" customHeight="false" outlineLevel="0" collapsed="false">
      <c r="A19" s="5" t="s">
        <v>44</v>
      </c>
      <c r="B19" s="6"/>
      <c r="C19" s="7"/>
    </row>
    <row r="20" customFormat="false" ht="15" hidden="false" customHeight="false" outlineLevel="0" collapsed="false">
      <c r="A20" s="8" t="s">
        <v>45</v>
      </c>
      <c r="B20" s="13" t="n">
        <v>4</v>
      </c>
      <c r="C20" s="2" t="s">
        <v>46</v>
      </c>
    </row>
    <row r="21" customFormat="false" ht="15" hidden="false" customHeight="false" outlineLevel="0" collapsed="false">
      <c r="A21" s="8" t="s">
        <v>47</v>
      </c>
      <c r="B21" s="9" t="n">
        <v>30</v>
      </c>
      <c r="C21" s="2" t="s">
        <v>48</v>
      </c>
    </row>
    <row r="22" customFormat="false" ht="15" hidden="false" customHeight="false" outlineLevel="0" collapsed="false">
      <c r="A22" s="8" t="s">
        <v>49</v>
      </c>
      <c r="B22" s="13" t="n">
        <v>8</v>
      </c>
    </row>
    <row r="23" customFormat="false" ht="15" hidden="false" customHeight="false" outlineLevel="0" collapsed="false">
      <c r="A23" s="8" t="s">
        <v>50</v>
      </c>
      <c r="B23" s="9" t="n">
        <v>8</v>
      </c>
      <c r="C23" s="2" t="s">
        <v>51</v>
      </c>
    </row>
    <row r="24" customFormat="false" ht="15" hidden="false" customHeight="false" outlineLevel="0" collapsed="false">
      <c r="A24" s="8" t="s">
        <v>52</v>
      </c>
      <c r="B24" s="13" t="n">
        <v>30</v>
      </c>
    </row>
    <row r="25" customFormat="false" ht="15" hidden="false" customHeight="false" outlineLevel="0" collapsed="false">
      <c r="A25" s="8" t="s">
        <v>53</v>
      </c>
      <c r="B25" s="9" t="n">
        <v>50</v>
      </c>
      <c r="C25" s="2" t="s">
        <v>54</v>
      </c>
    </row>
    <row r="26" customFormat="false" ht="15" hidden="false" customHeight="false" outlineLevel="0" collapsed="false">
      <c r="A26" s="8" t="s">
        <v>55</v>
      </c>
      <c r="B26" s="10" t="n">
        <v>16.25</v>
      </c>
      <c r="C26" s="2" t="s">
        <v>56</v>
      </c>
    </row>
    <row r="27" customFormat="false" ht="15" hidden="false" customHeight="false" outlineLevel="0" collapsed="false">
      <c r="B2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14" t="s">
        <v>61</v>
      </c>
    </row>
    <row r="5" customFormat="false" ht="15" hidden="false" customHeight="false" outlineLevel="0" collapsed="false">
      <c r="A5" s="8" t="s">
        <v>62</v>
      </c>
      <c r="B5" s="15" t="n">
        <f aca="false">Assumptions!B8*Assumptions!B6</f>
        <v>400</v>
      </c>
      <c r="C5" s="2" t="s">
        <v>63</v>
      </c>
    </row>
    <row r="6" customFormat="false" ht="15" hidden="false" customHeight="false" outlineLevel="0" collapsed="false">
      <c r="A6" s="8" t="s">
        <v>64</v>
      </c>
      <c r="B6" s="15" t="n">
        <f aca="false">Assumptions!B11/1000*Assumptions!B12</f>
        <v>120</v>
      </c>
      <c r="C6" s="2" t="s">
        <v>65</v>
      </c>
    </row>
    <row r="7" customFormat="false" ht="15" hidden="false" customHeight="false" outlineLevel="0" collapsed="false">
      <c r="A7" s="8" t="s">
        <v>66</v>
      </c>
      <c r="B7" s="15" t="n">
        <f aca="false">Assumptions!B13/1000*Assumptions!B14</f>
        <v>30</v>
      </c>
      <c r="C7" s="2" t="s">
        <v>67</v>
      </c>
    </row>
    <row r="8" customFormat="false" ht="15" hidden="false" customHeight="false" outlineLevel="0" collapsed="false">
      <c r="A8" s="8" t="s">
        <v>68</v>
      </c>
      <c r="B8" s="15" t="n">
        <f aca="false">Assumptions!B16/1000*Assumptions!B17</f>
        <v>211.2</v>
      </c>
      <c r="C8" s="2" t="s">
        <v>69</v>
      </c>
    </row>
    <row r="9" customFormat="false" ht="15" hidden="false" customHeight="false" outlineLevel="0" collapsed="false">
      <c r="A9" s="8" t="s">
        <v>70</v>
      </c>
      <c r="B9" s="15" t="n">
        <f aca="false">Assumptions!B18</f>
        <v>35</v>
      </c>
      <c r="C9" s="2" t="s">
        <v>71</v>
      </c>
    </row>
    <row r="10" customFormat="false" ht="15" hidden="false" customHeight="false" outlineLevel="0" collapsed="false">
      <c r="A10" s="16" t="s">
        <v>72</v>
      </c>
      <c r="B10" s="17" t="n">
        <f aca="false">SUM(B5:B9)</f>
        <v>796.2</v>
      </c>
    </row>
    <row r="11" customFormat="false" ht="15" hidden="false" customHeight="false" outlineLevel="0" collapsed="false">
      <c r="A11" s="16" t="s">
        <v>73</v>
      </c>
      <c r="B11" s="18" t="n">
        <f aca="false">B10-Assumptions!B4</f>
        <v>196.2</v>
      </c>
    </row>
    <row r="13" customFormat="false" ht="15" hidden="false" customHeight="false" outlineLevel="0" collapsed="false">
      <c r="A13" s="8" t="s">
        <v>74</v>
      </c>
      <c r="B13" s="19" t="n">
        <f aca="false">ROUNDUP(Assumptions!B4/Assumptions!B6,0)</f>
        <v>120</v>
      </c>
      <c r="C13" s="2" t="str">
        <f aca="false">ROUNDUP(Assumptions!B4/Assumptions!B7,0)&amp;" @ $10"</f>
        <v>60 @ $10</v>
      </c>
    </row>
    <row r="14" customFormat="false" ht="15" hidden="false" customHeight="false" outlineLevel="0" collapsed="false">
      <c r="A14" s="8" t="s">
        <v>75</v>
      </c>
      <c r="B14" s="20" t="n">
        <f aca="false">Assumptions!B16*Assumptions!B9</f>
        <v>600</v>
      </c>
    </row>
    <row r="15" customFormat="false" ht="15" hidden="false" customHeight="false" outlineLevel="0" collapsed="false">
      <c r="A15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14" t="s">
        <v>79</v>
      </c>
      <c r="B4" s="14" t="s">
        <v>80</v>
      </c>
      <c r="C4" s="14" t="s">
        <v>81</v>
      </c>
      <c r="D4" s="14" t="s">
        <v>61</v>
      </c>
    </row>
    <row r="5" customFormat="false" ht="15" hidden="false" customHeight="false" outlineLevel="0" collapsed="false">
      <c r="A5" s="21" t="n">
        <v>30000</v>
      </c>
      <c r="B5" s="22" t="n">
        <f aca="false">A5/1000*Assumptions!$B$12</f>
        <v>120</v>
      </c>
      <c r="C5" s="22" t="n">
        <f aca="false">A5/1000*Assumptions!$B$14</f>
        <v>3</v>
      </c>
      <c r="D5" s="2" t="s">
        <v>82</v>
      </c>
    </row>
    <row r="6" customFormat="false" ht="15" hidden="false" customHeight="false" outlineLevel="0" collapsed="false">
      <c r="A6" s="21" t="n">
        <v>100000</v>
      </c>
      <c r="B6" s="22" t="n">
        <f aca="false">A6/1000*Assumptions!$B$12</f>
        <v>400</v>
      </c>
      <c r="C6" s="22" t="n">
        <f aca="false">A6/1000*Assumptions!$B$14</f>
        <v>10</v>
      </c>
      <c r="D6" s="2"/>
    </row>
    <row r="7" customFormat="false" ht="15" hidden="false" customHeight="false" outlineLevel="0" collapsed="false">
      <c r="A7" s="21" t="n">
        <v>300000</v>
      </c>
      <c r="B7" s="22" t="n">
        <f aca="false">A7/1000*Assumptions!$B$12</f>
        <v>1200</v>
      </c>
      <c r="C7" s="22" t="n">
        <f aca="false">A7/1000*Assumptions!$B$14</f>
        <v>30</v>
      </c>
      <c r="D7" s="2"/>
    </row>
    <row r="8" customFormat="false" ht="15" hidden="false" customHeight="false" outlineLevel="0" collapsed="false">
      <c r="A8" s="21" t="n">
        <v>1000000</v>
      </c>
      <c r="B8" s="22" t="n">
        <f aca="false">A8/1000*Assumptions!$B$12</f>
        <v>4000</v>
      </c>
      <c r="C8" s="22" t="n">
        <f aca="false">A8/1000*Assumptions!$B$14</f>
        <v>100</v>
      </c>
      <c r="D8" s="2"/>
    </row>
    <row r="10" customFormat="false" ht="15" hidden="false" customHeight="false" outlineLevel="0" collapsed="false">
      <c r="A10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5" t="s">
        <v>86</v>
      </c>
      <c r="B4" s="7"/>
    </row>
    <row r="5" customFormat="false" ht="15" hidden="false" customHeight="false" outlineLevel="0" collapsed="false">
      <c r="A5" s="8" t="s">
        <v>87</v>
      </c>
      <c r="B5" s="23" t="n">
        <f aca="false">Assumptions!B22*Assumptions!B21</f>
        <v>240</v>
      </c>
    </row>
    <row r="6" customFormat="false" ht="15" hidden="false" customHeight="false" outlineLevel="0" collapsed="false">
      <c r="A6" s="8" t="s">
        <v>88</v>
      </c>
      <c r="B6" s="23" t="n">
        <f aca="false">Assumptions!B24*Assumptions!B23</f>
        <v>240</v>
      </c>
    </row>
    <row r="7" customFormat="false" ht="15" hidden="false" customHeight="false" outlineLevel="0" collapsed="false">
      <c r="A7" s="8" t="s">
        <v>89</v>
      </c>
      <c r="B7" s="23" t="n">
        <f aca="false">Assumptions!B25</f>
        <v>50</v>
      </c>
    </row>
    <row r="8" customFormat="false" ht="15" hidden="false" customHeight="false" outlineLevel="0" collapsed="false">
      <c r="A8" s="8" t="s">
        <v>90</v>
      </c>
      <c r="B8" s="23" t="n">
        <f aca="false">Assumptions!B26</f>
        <v>16.25</v>
      </c>
    </row>
    <row r="9" customFormat="false" ht="15" hidden="false" customHeight="false" outlineLevel="0" collapsed="false">
      <c r="A9" s="16" t="s">
        <v>91</v>
      </c>
      <c r="B9" s="24" t="n">
        <f aca="false">SUM(B5:B8)</f>
        <v>546.25</v>
      </c>
    </row>
    <row r="11" customFormat="false" ht="15" hidden="false" customHeight="false" outlineLevel="0" collapsed="false">
      <c r="A11" s="16" t="s">
        <v>92</v>
      </c>
      <c r="B11" s="18" t="n">
        <f aca="false">'Revenue to $600'!B10-B9</f>
        <v>249.95</v>
      </c>
    </row>
    <row r="13" customFormat="false" ht="15" hidden="false" customHeight="false" outlineLevel="0" collapsed="false">
      <c r="A13" s="5" t="s">
        <v>93</v>
      </c>
      <c r="B13" s="7"/>
      <c r="C13" s="7"/>
      <c r="D13" s="7"/>
    </row>
    <row r="14" customFormat="false" ht="15" hidden="false" customHeight="false" outlineLevel="0" collapsed="false">
      <c r="A14" s="14" t="s">
        <v>94</v>
      </c>
      <c r="B14" s="14" t="s">
        <v>95</v>
      </c>
      <c r="C14" s="14" t="s">
        <v>96</v>
      </c>
      <c r="D14" s="14" t="s">
        <v>97</v>
      </c>
    </row>
    <row r="15" customFormat="false" ht="15" hidden="false" customHeight="false" outlineLevel="0" collapsed="false">
      <c r="A15" s="8" t="s">
        <v>98</v>
      </c>
      <c r="B15" s="25" t="n">
        <f aca="false">(Assumptions!$B$22+Assumptions!$B$24)/Assumptions!$B$20*4</f>
        <v>38</v>
      </c>
      <c r="C15" s="25" t="n">
        <f aca="false">(Assumptions!$B$22+Assumptions!$B$24)/Assumptions!$B$20*10</f>
        <v>95</v>
      </c>
      <c r="D15" s="25" t="n">
        <f aca="false">(Assumptions!$B$22+Assumptions!$B$24)/Assumptions!$B$20*50</f>
        <v>475</v>
      </c>
    </row>
    <row r="16" customFormat="false" ht="15" hidden="false" customHeight="false" outlineLevel="0" collapsed="false">
      <c r="A16" s="8" t="s">
        <v>99</v>
      </c>
      <c r="B16" s="26" t="n">
        <f aca="false">(Assumptions!$B$22*Assumptions!$B$21+Assumptions!$B$24*Assumptions!$B$23)/Assumptions!$B$20*4</f>
        <v>480</v>
      </c>
      <c r="C16" s="26" t="n">
        <f aca="false">(Assumptions!$B$22*Assumptions!$B$21+Assumptions!$B$24*Assumptions!$B$23)/Assumptions!$B$20*10</f>
        <v>1200</v>
      </c>
      <c r="D16" s="26" t="n">
        <f aca="false">(Assumptions!$B$22*Assumptions!$B$21+Assumptions!$B$24*Assumptions!$B$23)/Assumptions!$B$20*50</f>
        <v>6000</v>
      </c>
    </row>
    <row r="17" customFormat="false" ht="15" hidden="false" customHeight="false" outlineLevel="0" collapsed="false">
      <c r="A17" s="8" t="s">
        <v>100</v>
      </c>
      <c r="B17" s="27" t="n">
        <v>400</v>
      </c>
      <c r="C17" s="27" t="n">
        <v>800</v>
      </c>
      <c r="D17" s="27" t="n">
        <v>2500</v>
      </c>
    </row>
    <row r="18" customFormat="false" ht="15" hidden="false" customHeight="false" outlineLevel="0" collapsed="false">
      <c r="A18" s="16" t="s">
        <v>101</v>
      </c>
      <c r="B18" s="17" t="n">
        <f aca="false">B16+B17</f>
        <v>880</v>
      </c>
      <c r="C18" s="17" t="n">
        <f aca="false">C16+C17</f>
        <v>2000</v>
      </c>
      <c r="D18" s="17" t="n">
        <f aca="false">D16+D17</f>
        <v>8500</v>
      </c>
    </row>
    <row r="19" customFormat="false" ht="15" hidden="false" customHeight="false" outlineLevel="0" collapsed="false">
      <c r="A19" s="8" t="s">
        <v>102</v>
      </c>
      <c r="B19" s="25" t="n">
        <f aca="false">ROUNDUP(B18/Assumptions!$B$6,0)</f>
        <v>176</v>
      </c>
      <c r="C19" s="25" t="n">
        <f aca="false">ROUNDUP(C18/Assumptions!$B$6,0)</f>
        <v>400</v>
      </c>
      <c r="D19" s="25" t="n">
        <f aca="false">ROUNDUP(D18/Assumptions!$B$6,0)</f>
        <v>1700</v>
      </c>
    </row>
    <row r="21" customFormat="false" ht="15" hidden="false" customHeight="false" outlineLevel="0" collapsed="false">
      <c r="A21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4"/>
  </cols>
  <sheetData>
    <row r="1" customFormat="false" ht="17.35" hidden="false" customHeight="false" outlineLevel="0" collapsed="false">
      <c r="A1" s="1" t="s">
        <v>104</v>
      </c>
    </row>
    <row r="3" customFormat="false" ht="15" hidden="false" customHeight="false" outlineLevel="0" collapsed="false">
      <c r="A3" s="5" t="s">
        <v>105</v>
      </c>
      <c r="B3" s="5" t="s">
        <v>106</v>
      </c>
    </row>
    <row r="4" customFormat="false" ht="15" hidden="false" customHeight="false" outlineLevel="0" collapsed="false">
      <c r="A4" s="8" t="s">
        <v>107</v>
      </c>
      <c r="B4" s="8" t="s">
        <v>108</v>
      </c>
    </row>
    <row r="5" customFormat="false" ht="15" hidden="false" customHeight="false" outlineLevel="0" collapsed="false">
      <c r="A5" s="8" t="s">
        <v>109</v>
      </c>
      <c r="B5" s="8" t="s">
        <v>110</v>
      </c>
    </row>
    <row r="6" customFormat="false" ht="15" hidden="false" customHeight="false" outlineLevel="0" collapsed="false">
      <c r="A6" s="8" t="s">
        <v>111</v>
      </c>
      <c r="B6" s="8" t="s">
        <v>112</v>
      </c>
    </row>
    <row r="7" customFormat="false" ht="15" hidden="false" customHeight="false" outlineLevel="0" collapsed="false">
      <c r="A7" s="8" t="s">
        <v>113</v>
      </c>
      <c r="B7" s="8" t="s">
        <v>114</v>
      </c>
    </row>
    <row r="8" customFormat="false" ht="15" hidden="false" customHeight="false" outlineLevel="0" collapsed="false">
      <c r="A8" s="8" t="s">
        <v>115</v>
      </c>
      <c r="B8" s="8" t="s">
        <v>116</v>
      </c>
    </row>
    <row r="9" customFormat="false" ht="15" hidden="false" customHeight="false" outlineLevel="0" collapsed="false">
      <c r="A9" s="8" t="s">
        <v>117</v>
      </c>
      <c r="B9" s="8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2026-06-19T13:38:50Z</dcterms:created>
  <dc:creator>openpyxl</dc:creator>
  <dc:description/>
  <dc:language>en-US</dc:language>
  <cp:lastModifiedBy/>
  <dcterms:modified xsi:type="dcterms:W3CDTF">2026-06-19T13:38:50Z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