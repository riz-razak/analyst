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rdict" sheetId="1" state="visible" r:id="rId3"/>
    <sheet name="Assumptions" sheetId="2" state="visible" r:id="rId4"/>
    <sheet name="Ad Unit Economics" sheetId="3" state="visible" r:id="rId5"/>
    <sheet name="Traffic→Revenue" sheetId="4" state="visible" r:id="rId6"/>
    <sheet name="Scenarios" sheetId="5" state="visible" r:id="rId7"/>
    <sheet name="Stress Tests" sheetId="6" state="visible" r:id="rId8"/>
    <sheet name="Output→Traffic" sheetId="7" state="visible" r:id="rId9"/>
    <sheet name="Comparable" sheetId="8" state="visible" r:id="rId10"/>
    <sheet name="Source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<sst xmlns="http://schemas.openxmlformats.org/spreadsheetml/2006/main" count="178" uniqueCount="176">
  <si>
    <t xml:space="preserve">The Analyst — Business Proposition v0.2 · Clean Ad Economics</t>
  </si>
  <si>
    <t xml:space="preserve">Yan Finance Review: Hasib #30 (lead), Harini #45, Priya #9 · Mara #14 gaps · 2026-06-19 · prudent basis</t>
  </si>
  <si>
    <t xml:space="preserve">SCOPE (reassessed per founder)</t>
  </si>
  <si>
    <t xml:space="preserve">• "One ad" = ONE ad unit per page/screen (minimal clean load), not one ad total. • NO paywall, ever.</t>
  </si>
  <si>
    <t xml:space="preserve">• Ads = a revenue stream we WILL want, but NOT a central dependency. This round isolates clean ad economics.</t>
  </si>
  <si>
    <t xml:space="preserve">• Output target (with Yan agentic/institutional support): ~2 huge + 15–20 big + 20 small (ML-drafted, human-curated)/mo.</t>
  </si>
  <si>
    <t xml:space="preserve">CLEAN AD ECONOMICS — the prudent truth</t>
  </si>
  <si>
    <t xml:space="preserve">One clean banner, after fill + ad-block, earns an effective RPM of ~$0.29 (Sri Lanka) to ~$1.76 (diaspora).</t>
  </si>
  <si>
    <t xml:space="preserve">Programmatic ad-only reaches the Tier-1 salary ($500 → $594 grossed) at roughly 500k–1M pageviews/month.</t>
  </si>
  <si>
    <t xml:space="preserve">A new SL investigative brand does not have that in year one. So ADS ALONE ≠ a salary, at any realistic Y1 traffic.</t>
  </si>
  <si>
    <t xml:space="preserve">WHERE ADS ACTUALLY PAY</t>
  </si>
  <si>
    <t xml:space="preserve">• As a SUPPLEMENT on top of membership: at 120k pv/mo the clean ad adds ~$80–150/mo — real, but ~15–25% of Tier-1.</t>
  </si>
  <si>
    <t xml:space="preserve">• DIRECT-SOLD single slot (one aligned sponsor, flat monthly) can beat programmatic at low traffic — but reintroduces</t>
  </si>
  <si>
    <t xml:space="preserve">  the patron/independence risk the Philosophy Forum flagged. Treat as capped, sector-screened, disclosed.</t>
  </si>
  <si>
    <t xml:space="preserve">• The Examiner (Alphonsus) runs subscription-ONLY and finds breakeven tough — our edge is adding the clean ad they refuse,</t>
  </si>
  <si>
    <t xml:space="preserve">  without becoming dependent on it.</t>
  </si>
  <si>
    <t xml:space="preserve">THE "HOW" (Mara gap round) — build the verification spine BEFORE ML volume</t>
  </si>
  <si>
    <t xml:space="preserve">20 ML-drafted pieces/mo removes the human fact-check bottleneck that currently protects credibility. Required spine:</t>
  </si>
  <si>
    <t xml:space="preserve">1) source store (hash+archive+id), 2) claim-binding (every number/quote → source_id), 3) Alleged Checker as hard CI gate</t>
  </si>
  <si>
    <t xml:space="preserve">(one orphan number = build fails), 4) exception-based human promote + audit log. Sinhala/Tamil never from an LLM.</t>
  </si>
  <si>
    <t xml:space="preserve">Ship volume before the gate and you publish a fabricated number under a named subject — the one irreversible move.</t>
  </si>
  <si>
    <t xml:space="preserve">RECOMMENDATION</t>
  </si>
  <si>
    <t xml:space="preserve">Membership-primary (proven, on-ethos) + clean ad as a capped supplement; direct-sold slot only if sector-screened &amp;</t>
  </si>
  <si>
    <t xml:space="preserve">disclosed. Fund the salary as a LAGGING reward of traction. Build the 4-part spine before the ML line goes live.</t>
  </si>
  <si>
    <t xml:space="preserve">Sheets: Assumptions · Ad Unit Economics · Traffic→Revenue · Scenarios · Stress Tests · Output→Traffic · Comparable · Sources.</t>
  </si>
  <si>
    <t xml:space="preserve">Assumptions — edit BLUE; verify YELLOW. Prudent/conservative basis.</t>
  </si>
  <si>
    <t xml:space="preserve">Salary tiers (founder-stated, [V:FOUNDER]) &amp; costs</t>
  </si>
  <si>
    <t xml:space="preserve">Tier-1 salary (USD/mo)</t>
  </si>
  <si>
    <t xml:space="preserve">LKR 150,000 ≈ $500</t>
  </si>
  <si>
    <t xml:space="preserve">Tier-2 salary (USD/mo)</t>
  </si>
  <si>
    <t xml:space="preserve">LKR 300,000 ≈ $1,000</t>
  </si>
  <si>
    <t xml:space="preserve">Tier-3 salary (USD/mo)</t>
  </si>
  <si>
    <t xml:space="preserve">LKR 500,000 ≈ $1,500</t>
  </si>
  <si>
    <t xml:space="preserve">USD→LKR</t>
  </si>
  <si>
    <t xml:space="preserve">verify live rate</t>
  </si>
  <si>
    <t xml:space="preserve">Platform infra (USD/mo)</t>
  </si>
  <si>
    <t xml:space="preserve">Business Model v0.1</t>
  </si>
  <si>
    <t xml:space="preserve">Gross-up (fees/forex/fill loss)</t>
  </si>
  <si>
    <t xml:space="preserve">applied to salary+infra for revenue target</t>
  </si>
  <si>
    <t xml:space="preserve">Tier-1 gross revenue target (USD/mo)</t>
  </si>
  <si>
    <t xml:space="preserve">Clean ad unit (ONE banner/page) — gross CPM (USD/1000 impressions)</t>
  </si>
  <si>
    <t xml:space="preserve">Sri Lanka CPM</t>
  </si>
  <si>
    <t xml:space="preserve">SL=AdSense T9 (lowest). Single banner. Range $0.30–0.80. Source: AdSense/SL CPM 2026.</t>
  </si>
  <si>
    <t xml:space="preserve">Diaspora (Tier-1) CPM</t>
  </si>
  <si>
    <t xml:space="preserve">Single clean banner, news. Std banner $1.50–4.00. EthicalAds $2.50 EU/NA. Range $2–6.</t>
  </si>
  <si>
    <t xml:space="preserve">Fill rate</t>
  </si>
  <si>
    <t xml:space="preserve">% impressions monetised. AdSense high; programmatic ~85–95%.</t>
  </si>
  <si>
    <t xml:space="preserve">Ad-block rate — SL</t>
  </si>
  <si>
    <t xml:space="preserve">general SL audience</t>
  </si>
  <si>
    <t xml:space="preserve">Ad-block rate — diaspora</t>
  </si>
  <si>
    <t xml:space="preserve">engaged 18–34 tech cohort blocks heavily (Mara/SQ Mag)</t>
  </si>
  <si>
    <t xml:space="preserve">Effective RPM — SL (USD/1000 pv)</t>
  </si>
  <si>
    <t xml:space="preserve">Effective RPM — diaspora (USD/1000 pv)</t>
  </si>
  <si>
    <t xml:space="preserve">Alternative &amp; on-ethos levers</t>
  </si>
  <si>
    <t xml:space="preserve">Direct-sold single slot (flat USD/mo)</t>
  </si>
  <si>
    <t xml:space="preserve">one aligned sponsor for the sole slot. Patron risk: cap+screen+disclose.</t>
  </si>
  <si>
    <t xml:space="preserve">Membership (USD/member/mo)</t>
  </si>
  <si>
    <t xml:space="preserve">blended SL+diaspora; on-ethos primary (Pillar 2)</t>
  </si>
  <si>
    <t xml:space="preserve">Assumed recurring members</t>
  </si>
  <si>
    <t xml:space="preserve">editable — drives hybrid total</t>
  </si>
  <si>
    <t xml:space="preserve">Round F1 — clean ad unit economics (one banner/page)</t>
  </si>
  <si>
    <t xml:space="preserve">Effective RPM = CPM × fill × (1 − ad-block). Derived from Assumptions.</t>
  </si>
  <si>
    <t xml:space="preserve">Step</t>
  </si>
  <si>
    <t xml:space="preserve">Sri Lanka</t>
  </si>
  <si>
    <t xml:space="preserve">Diaspora</t>
  </si>
  <si>
    <t xml:space="preserve">Note</t>
  </si>
  <si>
    <t xml:space="preserve">Gross CPM (USD/1000)</t>
  </si>
  <si>
    <t xml:space="preserve">single clean banner</t>
  </si>
  <si>
    <t xml:space="preserve">× Fill rate</t>
  </si>
  <si>
    <t xml:space="preserve">monetised impressions</t>
  </si>
  <si>
    <t xml:space="preserve">× (1 − ad-block)</t>
  </si>
  <si>
    <t xml:space="preserve">served impressions</t>
  </si>
  <si>
    <t xml:space="preserve">Effective RPM (USD/1000 pv)</t>
  </si>
  <si>
    <t xml:space="preserve">revenue per 1000 pageviews</t>
  </si>
  <si>
    <t xml:space="preserve">Direct-sold alternative</t>
  </si>
  <si>
    <t xml:space="preserve">Sell the sole slot to one aligned sponsor, flat/mo</t>
  </si>
  <si>
    <t xml:space="preserve">Can beat programmatic at low traffic; reintroduces patron risk (cap ≤20%, screen sector, disclose).</t>
  </si>
  <si>
    <t xml:space="preserve">Reading: at SL ~$0.29 and diaspora ~$1.76 effective RPM, programmatic needs heavy traffic (see Traffic→Revenue).</t>
  </si>
  <si>
    <t xml:space="preserve">Round F2a — traffic → monthly ad revenue (programmatic, one slot)</t>
  </si>
  <si>
    <t xml:space="preserve">Revenue = pageviews × blended effective RPM ÷ 1000. Three blends shown. Tier-1 target marked.</t>
  </si>
  <si>
    <t xml:space="preserve">Pageviews / mo</t>
  </si>
  <si>
    <t xml:space="preserve">SL-heavy $0.50</t>
  </si>
  <si>
    <t xml:space="preserve">Balanced $1.00</t>
  </si>
  <si>
    <t xml:space="preserve">Diaspora $1.50</t>
  </si>
  <si>
    <t xml:space="preserve">vs Tier-1 ($594)</t>
  </si>
  <si>
    <t xml:space="preserve">Blended RPM examples are illustrative; real blend depends on SL/diaspora mix (see Scenarios).</t>
  </si>
  <si>
    <t xml:space="preserve">Programmatic ad-only hits Tier-1 (~$594) around 500k pv ($1.00) to 1M pv ($0.50).</t>
  </si>
  <si>
    <t xml:space="preserve">Round F2b — working scenarios (supported-output, ~month 12–24)</t>
  </si>
  <si>
    <t xml:space="preserve">Pageviews assume Yan agentic support lifts output (2 huge+~18 big+20 small/mo). Prudent midpoints; lumpy in reality.</t>
  </si>
  <si>
    <t xml:space="preserve">Driver</t>
  </si>
  <si>
    <t xml:space="preserve">Lean</t>
  </si>
  <si>
    <t xml:space="preserve">Base</t>
  </si>
  <si>
    <t xml:space="preserve">Growth</t>
  </si>
  <si>
    <t xml:space="preserve">Diaspora-tilt</t>
  </si>
  <si>
    <t xml:space="preserve">Monthly pageviews</t>
  </si>
  <si>
    <t xml:space="preserve">Sri Lanka traffic share</t>
  </si>
  <si>
    <t xml:space="preserve">Diaspora share</t>
  </si>
  <si>
    <t xml:space="preserve">Blended effective RPM</t>
  </si>
  <si>
    <t xml:space="preserve">Ad revenue / mo (programmatic)</t>
  </si>
  <si>
    <t xml:space="preserve">Membership rev (assumed members)</t>
  </si>
  <si>
    <t xml:space="preserve">Ad + membership total / mo</t>
  </si>
  <si>
    <t xml:space="preserve">vs Tier-1 target ($594)</t>
  </si>
  <si>
    <t xml:space="preserve">Pageviews needed: ad-ONLY Tier-1</t>
  </si>
  <si>
    <t xml:space="preserve">Ad-only traffic gap (×)</t>
  </si>
  <si>
    <t xml:space="preserve">Members for Tier-1 WITH this ad</t>
  </si>
  <si>
    <t xml:space="preserve">Pieces/month (huge+big+small)</t>
  </si>
  <si>
    <t xml:space="preserve">Reading: even supported, ad-only is 2–10x short; membership (~130–190 members) + clean ad clears Tier-1.</t>
  </si>
  <si>
    <t xml:space="preserve">Round F3 — stress tests (Base = 120k pv, balanced; prudent downside)</t>
  </si>
  <si>
    <t xml:space="preserve">Each shock applied to the Base scenario ad revenue; shows members still needed for Tier-1.</t>
  </si>
  <si>
    <t xml:space="preserve">Shock</t>
  </si>
  <si>
    <t xml:space="preserve">Ad rev / mo</t>
  </si>
  <si>
    <t xml:space="preserve">Members for Tier-1</t>
  </si>
  <si>
    <t xml:space="preserve">Base case (no shock)</t>
  </si>
  <si>
    <t xml:space="preserve">reference</t>
  </si>
  <si>
    <t xml:space="preserve">Ad-block surge +15pp</t>
  </si>
  <si>
    <t xml:space="preserve">heavier blocking on both segments</t>
  </si>
  <si>
    <t xml:space="preserve">CPM crash −30%</t>
  </si>
  <si>
    <t xml:space="preserve">programmatic price drop / recession</t>
  </si>
  <si>
    <t xml:space="preserve">Diaspora share −15pp (to 45/... )</t>
  </si>
  <si>
    <t xml:space="preserve">traffic skews more local</t>
  </si>
  <si>
    <t xml:space="preserve">AdSense ban / invalid-traffic (ad=0)</t>
  </si>
  <si>
    <t xml:space="preserve">single-point failure on political content</t>
  </si>
  <si>
    <t xml:space="preserve">LKR devaluation −20% (salary in USD costs more)</t>
  </si>
  <si>
    <t xml:space="preserve">ad rev USD unchanged; salary target rises — see note</t>
  </si>
  <si>
    <t xml:space="preserve">Takeaway: in every downside, membership is the shock absorber. Ad revenue is volatile; member revenue is not.</t>
  </si>
  <si>
    <t xml:space="preserve">AdSense-ban row is why ad must never be load-bearing: one policy strike → $0 ad, members unaffected.</t>
  </si>
  <si>
    <t xml:space="preserve">Output → traffic (illustrative; ties supported output to pageviews)</t>
  </si>
  <si>
    <t xml:space="preserve">Avg pageviews/piece are first-90-day estimates; investigative traffic is power-law (a few pieces dominate).</t>
  </si>
  <si>
    <t xml:space="preserve">Content type</t>
  </si>
  <si>
    <t xml:space="preserve">Count/mo</t>
  </si>
  <si>
    <t xml:space="preserve">Avg pv/piece</t>
  </si>
  <si>
    <t xml:space="preserve">Monthly pv</t>
  </si>
  <si>
    <t xml:space="preserve">Huge investigations</t>
  </si>
  <si>
    <t xml:space="preserve">spike + long tail; diaspora-shareable</t>
  </si>
  <si>
    <t xml:space="preserve">Big stories</t>
  </si>
  <si>
    <t xml:space="preserve">beat coverage; SEO + social</t>
  </si>
  <si>
    <t xml:space="preserve">Small (ML-drafted, curated)</t>
  </si>
  <si>
    <t xml:space="preserve">long-tail SEO floor; low each, compounds</t>
  </si>
  <si>
    <t xml:space="preserve">New-content pv / mo (gross)</t>
  </si>
  <si>
    <t xml:space="preserve">Note: gross new-content pv overstates steady traffic (overlap, decay). Use Scenarios pv as the prudent monthly figure.</t>
  </si>
  <si>
    <t xml:space="preserve">Comparable — The Examiner (Sri Lanka)</t>
  </si>
  <si>
    <t xml:space="preserve">Field</t>
  </si>
  <si>
    <t xml:space="preserve">Detail</t>
  </si>
  <si>
    <t xml:space="preserve">Outlet</t>
  </si>
  <si>
    <t xml:space="preserve">The Examiner (examiner.media), Colombo</t>
  </si>
  <si>
    <t xml:space="preserve">People</t>
  </si>
  <si>
    <t xml:space="preserve">Daniel Alphonsus (CEO/Publisher; ex-Daraz fintech, finance/foreign ministry adviser, Oxford PPE, Harvard) + Mimi Alphonsus (Publisher, ex-Sunday Times)</t>
  </si>
  <si>
    <t xml:space="preserve">Model</t>
  </si>
  <si>
    <t xml:space="preserve">Subscription-ONLY. "You, dear subscriber, pay our bills." Takes NO advertising. Editorial independence.</t>
  </si>
  <si>
    <t xml:space="preserve">Signal</t>
  </si>
  <si>
    <t xml:space="preserve">A credible SL outlet chose subscription-only; breakeven is tough (founder note).</t>
  </si>
  <si>
    <t xml:space="preserve">Implication for Analyst</t>
  </si>
  <si>
    <t xml:space="preserve">Membership is the proven on-ethos lever. Our differentiation: add ONE clean, capped ad they refuse — as supplement, never dependency. No paywall (we stay open; they gate).</t>
  </si>
  <si>
    <t xml:space="preserve">Sources (SD-COMMS-COMPLIANCE-2: cite before numbers leave council)</t>
  </si>
  <si>
    <t xml:space="preserve">Claim</t>
  </si>
  <si>
    <t xml:space="preserve">Source</t>
  </si>
  <si>
    <t xml:space="preserve">Salary tiers LKR 150k/300k/500k ≈ $500/$1000/$1500</t>
  </si>
  <si>
    <t xml:space="preserve">Founder-stated [V:FOUNDER]</t>
  </si>
  <si>
    <t xml:space="preserve">Standard display banner CPM $1.50–4.00; $0.50–$12 by placement</t>
  </si>
  <si>
    <t xml:space="preserve">Display advertising statistics 2026 (marketingltb); programmatic stats 2026</t>
  </si>
  <si>
    <t xml:space="preserve">SL = AdSense lowest tier (T9); SL Meta CPM ~LKR173 ($0.55)</t>
  </si>
  <si>
    <t xml:space="preserve">AdSense RPM-by-country 2026; hypesrilanka 2026; Statista SL</t>
  </si>
  <si>
    <t xml:space="preserve">Clean contextual ad ~$2.50 CPM (EU/NA)</t>
  </si>
  <si>
    <t xml:space="preserve">EthicalAds publisher guide/prospectus 2026</t>
  </si>
  <si>
    <t xml:space="preserve">Viewability ~72% cross-network 2026; desktop banner 64%</t>
  </si>
  <si>
    <t xml:space="preserve">amraandelma / comScore / digitalapplied 2026</t>
  </si>
  <si>
    <t xml:space="preserve">Fill: vCPM packages +43% price, +28% fill</t>
  </si>
  <si>
    <t xml:space="preserve">digitalapplied display benchmarks 2026</t>
  </si>
  <si>
    <t xml:space="preserve">Ad-block heaviest in 18–34 tech cohort</t>
  </si>
  <si>
    <t xml:space="preserve">SQ Magazine / Backlinko 2026</t>
  </si>
  <si>
    <t xml:space="preserve">AdSense ban / invalid-traffic single-point risk</t>
  </si>
  <si>
    <t xml:space="preserve">Google AdSense Help</t>
  </si>
  <si>
    <t xml:space="preserve">The Examiner subscription-only, no ads</t>
  </si>
  <si>
    <t xml:space="preserve">ijnet.org; examiner.media/about</t>
  </si>
  <si>
    <t xml:space="preserve">Infra cost basis</t>
  </si>
  <si>
    <t xml:space="preserve">Analyst Business Model v0.1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</si>
</sst>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;&quot;($&quot;#,##0\);\-"/>
    <numFmt numFmtId="166" formatCode="#,##0;\(#,##0\);\-"/>
    <numFmt numFmtId="167" formatCode="\$#,##0.00;&quot;($&quot;#,##0.00\);\-"/>
    <numFmt numFmtId="168" formatCode="0%"/>
    <numFmt numFmtId="169" formatCode="0.0\x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D2B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FEDE6"/>
        <bgColor rgb="FFD7E8D4"/>
      </patternFill>
    </fill>
    <fill>
      <patternFill patternType="solid">
        <fgColor rgb="FF2D5A27"/>
        <bgColor rgb="FF1F3D2B"/>
      </patternFill>
    </fill>
    <fill>
      <patternFill patternType="solid">
        <fgColor rgb="FFFFFF00"/>
        <bgColor rgb="FFFFFF00"/>
      </patternFill>
    </fill>
    <fill>
      <patternFill patternType="solid">
        <fgColor rgb="FFD7E8D4"/>
        <bgColor rgb="FFEFEDE6"/>
      </patternFill>
    </fill>
    <fill>
      <patternFill patternType="solid">
        <fgColor rgb="FFF8D7DA"/>
        <bgColor rgb="FFEFED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6BD"/>
      </left>
      <right style="thin">
        <color rgb="FFC9C6BD"/>
      </right>
      <top style="thin">
        <color rgb="FFC9C6BD"/>
      </top>
      <bottom style="thin">
        <color rgb="FFC9C6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6BD"/>
      <rgbColor rgb="FF808080"/>
      <rgbColor rgb="FF9999FF"/>
      <rgbColor rgb="FF993366"/>
      <rgbColor rgb="FFEFED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8D4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2D5A27"/>
      <rgbColor rgb="FF993300"/>
      <rgbColor rgb="FF993366"/>
      <rgbColor rgb="FF333399"/>
      <rgbColor rgb="FF1F3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</row>
    <row r="6" customFormat="false" ht="15" hidden="false" customHeight="false" outlineLevel="0" collapsed="false">
      <c r="A6" s="0" t="s">
        <v>4</v>
      </c>
    </row>
    <row r="7" customFormat="false" ht="15" hidden="false" customHeight="false" outlineLevel="0" collapsed="false">
      <c r="A7" s="0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>
      <c r="A12" s="0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  <row r="17" customFormat="false" ht="15" hidden="false" customHeight="false" outlineLevel="0" collapsed="false">
      <c r="A17" s="0" t="s">
        <v>13</v>
      </c>
    </row>
    <row r="18" customFormat="false" ht="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">
        <v>15</v>
      </c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0" t="s">
        <v>17</v>
      </c>
    </row>
    <row r="23" customFormat="false" ht="15" hidden="false" customHeight="false" outlineLevel="0" collapsed="false">
      <c r="A23" s="0" t="s">
        <v>18</v>
      </c>
    </row>
    <row r="24" customFormat="false" ht="15" hidden="false" customHeight="false" outlineLevel="0" collapsed="false">
      <c r="A24" s="0" t="s">
        <v>19</v>
      </c>
    </row>
    <row r="25" customFormat="false" ht="15" hidden="false" customHeight="false" outlineLevel="0" collapsed="false">
      <c r="A25" s="0" t="s">
        <v>20</v>
      </c>
    </row>
    <row r="27" customFormat="false" ht="15" hidden="false" customHeight="false" outlineLevel="0" collapsed="false">
      <c r="A27" s="3" t="s">
        <v>21</v>
      </c>
    </row>
    <row r="28" customFormat="false" ht="15" hidden="false" customHeight="false" outlineLevel="0" collapsed="false">
      <c r="A28" s="0" t="s">
        <v>22</v>
      </c>
    </row>
    <row r="29" customFormat="false" ht="15" hidden="false" customHeight="false" outlineLevel="0" collapsed="false">
      <c r="A29" s="0" t="s">
        <v>23</v>
      </c>
    </row>
    <row r="31" customFormat="false" ht="15" hidden="false" customHeight="false" outlineLevel="0" collapsed="false">
      <c r="A31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25</v>
      </c>
      <c r="B1" s="4"/>
    </row>
    <row r="2" customFormat="false" ht="15" hidden="false" customHeight="false" outlineLevel="0" collapsed="false">
      <c r="B2" s="4"/>
    </row>
    <row r="3" customFormat="false" ht="15" hidden="false" customHeight="false" outlineLevel="0" collapsed="false">
      <c r="A3" s="5" t="s">
        <v>26</v>
      </c>
      <c r="B3" s="6"/>
      <c r="C3" s="7"/>
    </row>
    <row r="4" customFormat="false" ht="15" hidden="false" customHeight="false" outlineLevel="0" collapsed="false">
      <c r="A4" s="8" t="s">
        <v>27</v>
      </c>
      <c r="B4" s="9" t="n">
        <v>500</v>
      </c>
      <c r="C4" s="2" t="s">
        <v>28</v>
      </c>
    </row>
    <row r="5" customFormat="false" ht="15" hidden="false" customHeight="false" outlineLevel="0" collapsed="false">
      <c r="A5" s="8" t="s">
        <v>29</v>
      </c>
      <c r="B5" s="9" t="n">
        <v>1000</v>
      </c>
      <c r="C5" s="2" t="s">
        <v>30</v>
      </c>
    </row>
    <row r="6" customFormat="false" ht="15" hidden="false" customHeight="false" outlineLevel="0" collapsed="false">
      <c r="A6" s="8" t="s">
        <v>31</v>
      </c>
      <c r="B6" s="9" t="n">
        <v>1500</v>
      </c>
      <c r="C6" s="2" t="s">
        <v>32</v>
      </c>
    </row>
    <row r="7" customFormat="false" ht="15" hidden="false" customHeight="false" outlineLevel="0" collapsed="false">
      <c r="A7" s="8" t="s">
        <v>33</v>
      </c>
      <c r="B7" s="10" t="n">
        <v>305</v>
      </c>
      <c r="C7" s="2" t="s">
        <v>34</v>
      </c>
    </row>
    <row r="8" customFormat="false" ht="15" hidden="false" customHeight="false" outlineLevel="0" collapsed="false">
      <c r="A8" s="8" t="s">
        <v>35</v>
      </c>
      <c r="B8" s="11" t="n">
        <v>16.25</v>
      </c>
      <c r="C8" s="2" t="s">
        <v>36</v>
      </c>
    </row>
    <row r="9" customFormat="false" ht="15" hidden="false" customHeight="false" outlineLevel="0" collapsed="false">
      <c r="A9" s="8" t="s">
        <v>37</v>
      </c>
      <c r="B9" s="12" t="n">
        <v>0.15</v>
      </c>
      <c r="C9" s="2" t="s">
        <v>38</v>
      </c>
    </row>
    <row r="10" customFormat="false" ht="15" hidden="false" customHeight="false" outlineLevel="0" collapsed="false">
      <c r="A10" s="13" t="s">
        <v>39</v>
      </c>
      <c r="B10" s="14" t="n">
        <f aca="false">(B4+B8)*(1+B9)</f>
        <v>593.6875</v>
      </c>
    </row>
    <row r="11" customFormat="false" ht="15" hidden="false" customHeight="false" outlineLevel="0" collapsed="false">
      <c r="B11" s="4"/>
    </row>
    <row r="12" customFormat="false" ht="15" hidden="false" customHeight="false" outlineLevel="0" collapsed="false">
      <c r="A12" s="5" t="s">
        <v>40</v>
      </c>
      <c r="B12" s="6"/>
      <c r="C12" s="7"/>
    </row>
    <row r="13" customFormat="false" ht="15" hidden="false" customHeight="false" outlineLevel="0" collapsed="false">
      <c r="A13" s="8" t="s">
        <v>41</v>
      </c>
      <c r="B13" s="11" t="n">
        <v>0.4</v>
      </c>
      <c r="C13" s="2" t="s">
        <v>42</v>
      </c>
    </row>
    <row r="14" customFormat="false" ht="15" hidden="false" customHeight="false" outlineLevel="0" collapsed="false">
      <c r="A14" s="8" t="s">
        <v>43</v>
      </c>
      <c r="B14" s="11" t="n">
        <v>3</v>
      </c>
      <c r="C14" s="2" t="s">
        <v>44</v>
      </c>
    </row>
    <row r="15" customFormat="false" ht="15" hidden="false" customHeight="false" outlineLevel="0" collapsed="false">
      <c r="A15" s="8" t="s">
        <v>45</v>
      </c>
      <c r="B15" s="12" t="n">
        <v>0.9</v>
      </c>
      <c r="C15" s="2" t="s">
        <v>46</v>
      </c>
    </row>
    <row r="16" customFormat="false" ht="15" hidden="false" customHeight="false" outlineLevel="0" collapsed="false">
      <c r="A16" s="8" t="s">
        <v>47</v>
      </c>
      <c r="B16" s="12" t="n">
        <v>0.2</v>
      </c>
      <c r="C16" s="2" t="s">
        <v>48</v>
      </c>
    </row>
    <row r="17" customFormat="false" ht="15" hidden="false" customHeight="false" outlineLevel="0" collapsed="false">
      <c r="A17" s="8" t="s">
        <v>49</v>
      </c>
      <c r="B17" s="12" t="n">
        <v>0.35</v>
      </c>
      <c r="C17" s="2" t="s">
        <v>50</v>
      </c>
    </row>
    <row r="18" customFormat="false" ht="15" hidden="false" customHeight="false" outlineLevel="0" collapsed="false">
      <c r="A18" s="13" t="s">
        <v>51</v>
      </c>
      <c r="B18" s="15" t="n">
        <f aca="false">B13*B15*(1-B16)</f>
        <v>0.288</v>
      </c>
    </row>
    <row r="19" customFormat="false" ht="15" hidden="false" customHeight="false" outlineLevel="0" collapsed="false">
      <c r="A19" s="13" t="s">
        <v>52</v>
      </c>
      <c r="B19" s="15" t="n">
        <f aca="false">B14*B15*(1-B17)</f>
        <v>1.755</v>
      </c>
    </row>
    <row r="20" customFormat="false" ht="15" hidden="false" customHeight="false" outlineLevel="0" collapsed="false">
      <c r="B20" s="4"/>
    </row>
    <row r="21" customFormat="false" ht="15" hidden="false" customHeight="false" outlineLevel="0" collapsed="false">
      <c r="A21" s="5" t="s">
        <v>53</v>
      </c>
      <c r="B21" s="6"/>
      <c r="C21" s="7"/>
    </row>
    <row r="22" customFormat="false" ht="15" hidden="false" customHeight="false" outlineLevel="0" collapsed="false">
      <c r="A22" s="8" t="s">
        <v>54</v>
      </c>
      <c r="B22" s="9" t="n">
        <v>300</v>
      </c>
      <c r="C22" s="2" t="s">
        <v>55</v>
      </c>
    </row>
    <row r="23" customFormat="false" ht="15" hidden="false" customHeight="false" outlineLevel="0" collapsed="false">
      <c r="A23" s="8" t="s">
        <v>56</v>
      </c>
      <c r="B23" s="11" t="n">
        <v>3</v>
      </c>
      <c r="C23" s="2" t="s">
        <v>57</v>
      </c>
    </row>
    <row r="24" customFormat="false" ht="15" hidden="false" customHeight="false" outlineLevel="0" collapsed="false">
      <c r="A24" s="8" t="s">
        <v>58</v>
      </c>
      <c r="B24" s="10" t="n">
        <v>150</v>
      </c>
      <c r="C24" s="2" t="s">
        <v>59</v>
      </c>
    </row>
    <row r="25" customFormat="false" ht="15" hidden="false" customHeight="false" outlineLevel="0" collapsed="false">
      <c r="B25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6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60</v>
      </c>
    </row>
    <row r="2" customFormat="false" ht="15" hidden="false" customHeight="false" outlineLevel="0" collapsed="false">
      <c r="A2" s="2" t="s">
        <v>61</v>
      </c>
    </row>
    <row r="4" customFormat="false" ht="15" hidden="false" customHeight="false" outlineLevel="0" collapsed="false">
      <c r="A4" s="16" t="s">
        <v>62</v>
      </c>
      <c r="B4" s="16" t="s">
        <v>63</v>
      </c>
      <c r="C4" s="16" t="s">
        <v>64</v>
      </c>
      <c r="D4" s="16" t="s">
        <v>65</v>
      </c>
    </row>
    <row r="5" customFormat="false" ht="15" hidden="false" customHeight="false" outlineLevel="0" collapsed="false">
      <c r="A5" s="8" t="s">
        <v>66</v>
      </c>
      <c r="B5" s="17" t="n">
        <f aca="false">Assumptions!B13</f>
        <v>0.4</v>
      </c>
      <c r="C5" s="17" t="n">
        <f aca="false">Assumptions!B14</f>
        <v>3</v>
      </c>
      <c r="D5" s="2" t="s">
        <v>67</v>
      </c>
    </row>
    <row r="6" customFormat="false" ht="15" hidden="false" customHeight="false" outlineLevel="0" collapsed="false">
      <c r="A6" s="8" t="s">
        <v>68</v>
      </c>
      <c r="B6" s="18" t="n">
        <f aca="false">Assumptions!B15</f>
        <v>0.9</v>
      </c>
      <c r="C6" s="18" t="n">
        <f aca="false">Assumptions!B15</f>
        <v>0.9</v>
      </c>
      <c r="D6" s="2" t="s">
        <v>69</v>
      </c>
    </row>
    <row r="7" customFormat="false" ht="15" hidden="false" customHeight="false" outlineLevel="0" collapsed="false">
      <c r="A7" s="8" t="s">
        <v>70</v>
      </c>
      <c r="B7" s="18" t="n">
        <f aca="false">1-Assumptions!B16</f>
        <v>0.8</v>
      </c>
      <c r="C7" s="18" t="n">
        <f aca="false">1-Assumptions!B17</f>
        <v>0.65</v>
      </c>
      <c r="D7" s="2" t="s">
        <v>71</v>
      </c>
    </row>
    <row r="8" customFormat="false" ht="15" hidden="false" customHeight="false" outlineLevel="0" collapsed="false">
      <c r="A8" s="13" t="s">
        <v>72</v>
      </c>
      <c r="B8" s="19" t="n">
        <f aca="false">Assumptions!B18</f>
        <v>0.288</v>
      </c>
      <c r="C8" s="19" t="n">
        <f aca="false">Assumptions!B19</f>
        <v>1.755</v>
      </c>
      <c r="D8" s="2" t="s">
        <v>73</v>
      </c>
    </row>
    <row r="10" customFormat="false" ht="15" hidden="false" customHeight="false" outlineLevel="0" collapsed="false">
      <c r="A10" s="5" t="s">
        <v>74</v>
      </c>
      <c r="B10" s="7"/>
      <c r="C10" s="7"/>
      <c r="D10" s="7"/>
    </row>
    <row r="11" customFormat="false" ht="15" hidden="false" customHeight="false" outlineLevel="0" collapsed="false">
      <c r="A11" s="8" t="s">
        <v>75</v>
      </c>
      <c r="B11" s="20" t="n">
        <f aca="false">Assumptions!B22</f>
        <v>300</v>
      </c>
      <c r="D11" s="2" t="s">
        <v>76</v>
      </c>
    </row>
    <row r="13" customFormat="false" ht="15" hidden="false" customHeight="false" outlineLevel="0" collapsed="false">
      <c r="A13" s="2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A4" s="16" t="s">
        <v>80</v>
      </c>
      <c r="B4" s="16" t="s">
        <v>81</v>
      </c>
      <c r="C4" s="16" t="s">
        <v>82</v>
      </c>
      <c r="D4" s="16" t="s">
        <v>83</v>
      </c>
      <c r="E4" s="16" t="s">
        <v>84</v>
      </c>
    </row>
    <row r="5" customFormat="false" ht="15" hidden="false" customHeight="false" outlineLevel="0" collapsed="false">
      <c r="A5" s="21" t="n">
        <v>50000</v>
      </c>
      <c r="B5" s="22" t="n">
        <f aca="false">$A5*0.5/1000</f>
        <v>25</v>
      </c>
      <c r="C5" s="22" t="n">
        <f aca="false">$A5*1/1000</f>
        <v>50</v>
      </c>
      <c r="D5" s="22" t="n">
        <f aca="false">$A5*1.5/1000</f>
        <v>75</v>
      </c>
      <c r="E5" s="2" t="str">
        <f aca="false">IF(C5&gt;=Assumptions!$B$10,"≥ Tier-1 at $1.00","below")</f>
        <v>below</v>
      </c>
    </row>
    <row r="6" customFormat="false" ht="15" hidden="false" customHeight="false" outlineLevel="0" collapsed="false">
      <c r="A6" s="21" t="n">
        <v>100000</v>
      </c>
      <c r="B6" s="22" t="n">
        <f aca="false">$A6*0.5/1000</f>
        <v>50</v>
      </c>
      <c r="C6" s="22" t="n">
        <f aca="false">$A6*1/1000</f>
        <v>100</v>
      </c>
      <c r="D6" s="22" t="n">
        <f aca="false">$A6*1.5/1000</f>
        <v>150</v>
      </c>
      <c r="E6" s="2" t="str">
        <f aca="false">IF(C6&gt;=Assumptions!$B$10,"≥ Tier-1 at $1.00","below")</f>
        <v>below</v>
      </c>
    </row>
    <row r="7" customFormat="false" ht="15" hidden="false" customHeight="false" outlineLevel="0" collapsed="false">
      <c r="A7" s="21" t="n">
        <v>250000</v>
      </c>
      <c r="B7" s="22" t="n">
        <f aca="false">$A7*0.5/1000</f>
        <v>125</v>
      </c>
      <c r="C7" s="22" t="n">
        <f aca="false">$A7*1/1000</f>
        <v>250</v>
      </c>
      <c r="D7" s="22" t="n">
        <f aca="false">$A7*1.5/1000</f>
        <v>375</v>
      </c>
      <c r="E7" s="2" t="str">
        <f aca="false">IF(C7&gt;=Assumptions!$B$10,"≥ Tier-1 at $1.00","below")</f>
        <v>below</v>
      </c>
    </row>
    <row r="8" customFormat="false" ht="15" hidden="false" customHeight="false" outlineLevel="0" collapsed="false">
      <c r="A8" s="21" t="n">
        <v>500000</v>
      </c>
      <c r="B8" s="22" t="n">
        <f aca="false">$A8*0.5/1000</f>
        <v>250</v>
      </c>
      <c r="C8" s="22" t="n">
        <f aca="false">$A8*1/1000</f>
        <v>500</v>
      </c>
      <c r="D8" s="22" t="n">
        <f aca="false">$A8*1.5/1000</f>
        <v>750</v>
      </c>
      <c r="E8" s="2" t="str">
        <f aca="false">IF(C8&gt;=Assumptions!$B$10,"≥ Tier-1 at $1.00","below")</f>
        <v>below</v>
      </c>
    </row>
    <row r="9" customFormat="false" ht="15" hidden="false" customHeight="false" outlineLevel="0" collapsed="false">
      <c r="A9" s="21" t="n">
        <v>1000000</v>
      </c>
      <c r="B9" s="22" t="n">
        <f aca="false">$A9*0.5/1000</f>
        <v>500</v>
      </c>
      <c r="C9" s="22" t="n">
        <f aca="false">$A9*1/1000</f>
        <v>1000</v>
      </c>
      <c r="D9" s="22" t="n">
        <f aca="false">$A9*1.5/1000</f>
        <v>1500</v>
      </c>
      <c r="E9" s="2" t="str">
        <f aca="false">IF(C9&gt;=Assumptions!$B$10,"≥ Tier-1 at $1.00","below")</f>
        <v>≥ Tier-1 at $1.00</v>
      </c>
    </row>
    <row r="11" customFormat="false" ht="15" hidden="false" customHeight="false" outlineLevel="0" collapsed="false">
      <c r="A11" s="2" t="s">
        <v>85</v>
      </c>
    </row>
    <row r="12" customFormat="false" ht="15" hidden="false" customHeight="false" outlineLevel="0" collapsed="false">
      <c r="A12" s="13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1" t="s">
        <v>87</v>
      </c>
    </row>
    <row r="2" customFormat="false" ht="15" hidden="false" customHeight="false" outlineLevel="0" collapsed="false">
      <c r="A2" s="2" t="s">
        <v>88</v>
      </c>
    </row>
    <row r="4" customFormat="false" ht="15" hidden="false" customHeight="false" outlineLevel="0" collapsed="false">
      <c r="A4" s="16" t="s">
        <v>89</v>
      </c>
      <c r="B4" s="16" t="s">
        <v>90</v>
      </c>
      <c r="C4" s="16" t="s">
        <v>91</v>
      </c>
      <c r="D4" s="16" t="s">
        <v>92</v>
      </c>
      <c r="E4" s="16" t="s">
        <v>93</v>
      </c>
    </row>
    <row r="5" customFormat="false" ht="15" hidden="false" customHeight="false" outlineLevel="0" collapsed="false">
      <c r="A5" s="8" t="s">
        <v>94</v>
      </c>
      <c r="B5" s="21" t="n">
        <v>40000</v>
      </c>
      <c r="C5" s="21" t="n">
        <v>120000</v>
      </c>
      <c r="D5" s="21" t="n">
        <v>300000</v>
      </c>
      <c r="E5" s="21" t="n">
        <v>250000</v>
      </c>
    </row>
    <row r="6" customFormat="false" ht="15" hidden="false" customHeight="false" outlineLevel="0" collapsed="false">
      <c r="A6" s="8" t="s">
        <v>95</v>
      </c>
      <c r="B6" s="23" t="n">
        <v>0.7</v>
      </c>
      <c r="C6" s="23" t="n">
        <v>0.6</v>
      </c>
      <c r="D6" s="23" t="n">
        <v>0.55</v>
      </c>
      <c r="E6" s="23" t="n">
        <v>0.4</v>
      </c>
    </row>
    <row r="7" customFormat="false" ht="15" hidden="false" customHeight="false" outlineLevel="0" collapsed="false">
      <c r="A7" s="8" t="s">
        <v>96</v>
      </c>
      <c r="B7" s="24" t="n">
        <f aca="false">1-B6</f>
        <v>0.3</v>
      </c>
      <c r="C7" s="24" t="n">
        <f aca="false">1-C6</f>
        <v>0.4</v>
      </c>
      <c r="D7" s="24" t="n">
        <f aca="false">1-D6</f>
        <v>0.45</v>
      </c>
      <c r="E7" s="24" t="n">
        <f aca="false">1-E6</f>
        <v>0.6</v>
      </c>
    </row>
    <row r="8" customFormat="false" ht="15" hidden="false" customHeight="false" outlineLevel="0" collapsed="false">
      <c r="A8" s="8" t="s">
        <v>97</v>
      </c>
      <c r="B8" s="25" t="n">
        <f aca="false">B6*Assumptions!$B$18+(1-B6)*Assumptions!$B$19</f>
        <v>0.7281</v>
      </c>
      <c r="C8" s="25" t="n">
        <f aca="false">C6*Assumptions!$B$18+(1-C6)*Assumptions!$B$19</f>
        <v>0.8748</v>
      </c>
      <c r="D8" s="25" t="n">
        <f aca="false">D6*Assumptions!$B$18+(1-D6)*Assumptions!$B$19</f>
        <v>0.94815</v>
      </c>
      <c r="E8" s="25" t="n">
        <f aca="false">E6*Assumptions!$B$18+(1-E6)*Assumptions!$B$19</f>
        <v>1.1682</v>
      </c>
    </row>
    <row r="9" customFormat="false" ht="15" hidden="false" customHeight="false" outlineLevel="0" collapsed="false">
      <c r="A9" s="13" t="s">
        <v>98</v>
      </c>
      <c r="B9" s="26" t="n">
        <f aca="false">B5/1000*B8</f>
        <v>29.124</v>
      </c>
      <c r="C9" s="26" t="n">
        <f aca="false">C5/1000*C8</f>
        <v>104.976</v>
      </c>
      <c r="D9" s="26" t="n">
        <f aca="false">D5/1000*D8</f>
        <v>284.445</v>
      </c>
      <c r="E9" s="26" t="n">
        <f aca="false">E5/1000*E8</f>
        <v>292.05</v>
      </c>
    </row>
    <row r="10" customFormat="false" ht="15" hidden="false" customHeight="false" outlineLevel="0" collapsed="false">
      <c r="A10" s="8" t="s">
        <v>99</v>
      </c>
      <c r="B10" s="20" t="n">
        <f aca="false">Assumptions!$B$24*Assumptions!$B$23</f>
        <v>450</v>
      </c>
      <c r="C10" s="20" t="n">
        <f aca="false">Assumptions!$B$24*Assumptions!$B$23</f>
        <v>450</v>
      </c>
      <c r="D10" s="20" t="n">
        <f aca="false">Assumptions!$B$24*Assumptions!$B$23</f>
        <v>450</v>
      </c>
      <c r="E10" s="20" t="n">
        <f aca="false">Assumptions!$B$24*Assumptions!$B$23</f>
        <v>450</v>
      </c>
    </row>
    <row r="11" customFormat="false" ht="15" hidden="false" customHeight="false" outlineLevel="0" collapsed="false">
      <c r="A11" s="13" t="s">
        <v>100</v>
      </c>
      <c r="B11" s="27" t="n">
        <f aca="false">B9+B10</f>
        <v>479.124</v>
      </c>
      <c r="C11" s="27" t="n">
        <f aca="false">C9+C10</f>
        <v>554.976</v>
      </c>
      <c r="D11" s="27" t="n">
        <f aca="false">D9+D10</f>
        <v>734.445</v>
      </c>
      <c r="E11" s="27" t="n">
        <f aca="false">E9+E10</f>
        <v>742.05</v>
      </c>
    </row>
    <row r="12" customFormat="false" ht="15" hidden="false" customHeight="false" outlineLevel="0" collapsed="false">
      <c r="A12" s="13" t="s">
        <v>101</v>
      </c>
      <c r="B12" s="28" t="n">
        <f aca="false">B11-Assumptions!$B$10</f>
        <v>-114.5635</v>
      </c>
      <c r="C12" s="28" t="n">
        <f aca="false">C11-Assumptions!$B$10</f>
        <v>-38.7115</v>
      </c>
      <c r="D12" s="28" t="n">
        <f aca="false">D11-Assumptions!$B$10</f>
        <v>140.7575</v>
      </c>
      <c r="E12" s="28" t="n">
        <f aca="false">E11-Assumptions!$B$10</f>
        <v>148.3625</v>
      </c>
    </row>
    <row r="13" customFormat="false" ht="15" hidden="false" customHeight="false" outlineLevel="0" collapsed="false">
      <c r="A13" s="8" t="s">
        <v>102</v>
      </c>
      <c r="B13" s="29" t="n">
        <f aca="false">Assumptions!$B$10/B8*1000</f>
        <v>815392.803186375</v>
      </c>
      <c r="C13" s="29" t="n">
        <f aca="false">Assumptions!$B$10/C8*1000</f>
        <v>678655.121170553</v>
      </c>
      <c r="D13" s="29" t="n">
        <f aca="false">Assumptions!$B$10/D8*1000</f>
        <v>626153.562200074</v>
      </c>
      <c r="E13" s="29" t="n">
        <f aca="false">Assumptions!$B$10/E8*1000</f>
        <v>508207.070707071</v>
      </c>
    </row>
    <row r="14" customFormat="false" ht="15" hidden="false" customHeight="false" outlineLevel="0" collapsed="false">
      <c r="A14" s="13" t="s">
        <v>103</v>
      </c>
      <c r="B14" s="30" t="n">
        <f aca="false">B13/B5</f>
        <v>20.3848200796594</v>
      </c>
      <c r="C14" s="30" t="n">
        <f aca="false">C13/C5</f>
        <v>5.65545934308794</v>
      </c>
      <c r="D14" s="30" t="n">
        <f aca="false">D13/D5</f>
        <v>2.08717854066691</v>
      </c>
      <c r="E14" s="30" t="n">
        <f aca="false">E13/E5</f>
        <v>2.03282828282828</v>
      </c>
    </row>
    <row r="15" customFormat="false" ht="15" hidden="false" customHeight="false" outlineLevel="0" collapsed="false">
      <c r="A15" s="13" t="s">
        <v>104</v>
      </c>
      <c r="B15" s="31" t="n">
        <f aca="false">MAX(0,ROUNDUP((Assumptions!$B$10-B9)/Assumptions!$B$23,0))</f>
        <v>189</v>
      </c>
      <c r="C15" s="31" t="n">
        <f aca="false">MAX(0,ROUNDUP((Assumptions!$B$10-C9)/Assumptions!$B$23,0))</f>
        <v>163</v>
      </c>
      <c r="D15" s="31" t="n">
        <f aca="false">MAX(0,ROUNDUP((Assumptions!$B$10-D9)/Assumptions!$B$23,0))</f>
        <v>104</v>
      </c>
      <c r="E15" s="31" t="n">
        <f aca="false">MAX(0,ROUNDUP((Assumptions!$B$10-E9)/Assumptions!$B$23,0))</f>
        <v>101</v>
      </c>
    </row>
    <row r="16" customFormat="false" ht="15" hidden="false" customHeight="false" outlineLevel="0" collapsed="false">
      <c r="A16" s="8" t="s">
        <v>105</v>
      </c>
      <c r="B16" s="21" t="n">
        <v>20</v>
      </c>
      <c r="C16" s="21" t="n">
        <v>35</v>
      </c>
      <c r="D16" s="21" t="n">
        <v>40</v>
      </c>
      <c r="E16" s="21" t="n">
        <v>30</v>
      </c>
    </row>
    <row r="17" customFormat="false" ht="15" hidden="false" customHeight="false" outlineLevel="0" collapsed="false">
      <c r="A17" s="2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1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16" t="s">
        <v>109</v>
      </c>
      <c r="B4" s="16" t="s">
        <v>110</v>
      </c>
      <c r="C4" s="16" t="s">
        <v>111</v>
      </c>
      <c r="D4" s="16" t="s">
        <v>65</v>
      </c>
    </row>
    <row r="5" customFormat="false" ht="15" hidden="false" customHeight="false" outlineLevel="0" collapsed="false">
      <c r="A5" s="8" t="s">
        <v>112</v>
      </c>
      <c r="B5" s="22" t="n">
        <f aca="false">Scenarios!C9</f>
        <v>104.976</v>
      </c>
      <c r="C5" s="32" t="n">
        <f aca="false">MAX(0,ROUNDUP((Assumptions!$B$10-B5)/Assumptions!$B$23,0))</f>
        <v>163</v>
      </c>
      <c r="D5" s="2" t="s">
        <v>113</v>
      </c>
    </row>
    <row r="6" customFormat="false" ht="15" hidden="false" customHeight="false" outlineLevel="0" collapsed="false">
      <c r="A6" s="8" t="s">
        <v>114</v>
      </c>
      <c r="B6" s="22" t="n">
        <f aca="false">120000/1000*(0.6*Assumptions!B18*(0.75/0.8)+0.4*Assumptions!B19*(0.5/0.65))</f>
        <v>84.24</v>
      </c>
      <c r="C6" s="32" t="n">
        <f aca="false">MAX(0,ROUNDUP((Assumptions!$B$10-B6)/Assumptions!$B$23,0))</f>
        <v>170</v>
      </c>
      <c r="D6" s="2" t="s">
        <v>115</v>
      </c>
    </row>
    <row r="7" customFormat="false" ht="15" hidden="false" customHeight="false" outlineLevel="0" collapsed="false">
      <c r="A7" s="8" t="s">
        <v>116</v>
      </c>
      <c r="B7" s="22" t="n">
        <f aca="false">(Scenarios!C9)*0.7</f>
        <v>73.4832</v>
      </c>
      <c r="C7" s="32" t="n">
        <f aca="false">MAX(0,ROUNDUP((Assumptions!$B$10-B7)/Assumptions!$B$23,0))</f>
        <v>174</v>
      </c>
      <c r="D7" s="2" t="s">
        <v>117</v>
      </c>
    </row>
    <row r="8" customFormat="false" ht="15" hidden="false" customHeight="false" outlineLevel="0" collapsed="false">
      <c r="A8" s="8" t="s">
        <v>118</v>
      </c>
      <c r="B8" s="22" t="n">
        <f aca="false">120000/1000*(0.75*Assumptions!B18+0.25*Assumptions!B19)</f>
        <v>78.57</v>
      </c>
      <c r="C8" s="32" t="n">
        <f aca="false">MAX(0,ROUNDUP((Assumptions!$B$10-B8)/Assumptions!$B$23,0))</f>
        <v>172</v>
      </c>
      <c r="D8" s="2" t="s">
        <v>119</v>
      </c>
    </row>
    <row r="9" customFormat="false" ht="15" hidden="false" customHeight="false" outlineLevel="0" collapsed="false">
      <c r="A9" s="8" t="s">
        <v>120</v>
      </c>
      <c r="B9" s="33" t="n">
        <f aca="false">0</f>
        <v>0</v>
      </c>
      <c r="C9" s="32" t="n">
        <f aca="false">MAX(0,ROUNDUP((Assumptions!$B$10-B9)/Assumptions!$B$23,0))</f>
        <v>198</v>
      </c>
      <c r="D9" s="2" t="s">
        <v>121</v>
      </c>
    </row>
    <row r="10" customFormat="false" ht="15" hidden="false" customHeight="false" outlineLevel="0" collapsed="false">
      <c r="A10" s="8" t="s">
        <v>122</v>
      </c>
      <c r="B10" s="22" t="n">
        <f aca="false">Scenarios!C9</f>
        <v>104.976</v>
      </c>
      <c r="C10" s="32" t="n">
        <f aca="false">MAX(0,ROUNDUP((Assumptions!$B$10-B10)/Assumptions!$B$23,0))</f>
        <v>163</v>
      </c>
      <c r="D10" s="2" t="s">
        <v>123</v>
      </c>
    </row>
    <row r="12" customFormat="false" ht="15" hidden="false" customHeight="false" outlineLevel="0" collapsed="false">
      <c r="A12" s="13" t="s">
        <v>124</v>
      </c>
    </row>
    <row r="13" customFormat="false" ht="15" hidden="false" customHeight="false" outlineLevel="0" collapsed="false">
      <c r="A13" s="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18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126</v>
      </c>
    </row>
    <row r="2" customFormat="false" ht="15" hidden="false" customHeight="false" outlineLevel="0" collapsed="false">
      <c r="A2" s="2" t="s">
        <v>127</v>
      </c>
    </row>
    <row r="4" customFormat="false" ht="15" hidden="false" customHeight="false" outlineLevel="0" collapsed="false">
      <c r="A4" s="16" t="s">
        <v>128</v>
      </c>
      <c r="B4" s="16" t="s">
        <v>129</v>
      </c>
      <c r="C4" s="16" t="s">
        <v>130</v>
      </c>
      <c r="D4" s="16" t="s">
        <v>131</v>
      </c>
      <c r="E4" s="16" t="s">
        <v>65</v>
      </c>
    </row>
    <row r="5" customFormat="false" ht="15" hidden="false" customHeight="false" outlineLevel="0" collapsed="false">
      <c r="A5" s="8" t="s">
        <v>132</v>
      </c>
      <c r="B5" s="21" t="n">
        <v>2</v>
      </c>
      <c r="C5" s="21" t="n">
        <v>40000</v>
      </c>
      <c r="D5" s="34" t="n">
        <f aca="false">B5*C5</f>
        <v>80000</v>
      </c>
      <c r="E5" s="2" t="s">
        <v>133</v>
      </c>
    </row>
    <row r="6" customFormat="false" ht="15" hidden="false" customHeight="false" outlineLevel="0" collapsed="false">
      <c r="A6" s="8" t="s">
        <v>134</v>
      </c>
      <c r="B6" s="21" t="n">
        <v>18</v>
      </c>
      <c r="C6" s="21" t="n">
        <v>5000</v>
      </c>
      <c r="D6" s="34" t="n">
        <f aca="false">B6*C6</f>
        <v>90000</v>
      </c>
      <c r="E6" s="2" t="s">
        <v>135</v>
      </c>
    </row>
    <row r="7" customFormat="false" ht="15" hidden="false" customHeight="false" outlineLevel="0" collapsed="false">
      <c r="A7" s="8" t="s">
        <v>136</v>
      </c>
      <c r="B7" s="21" t="n">
        <v>20</v>
      </c>
      <c r="C7" s="21" t="n">
        <v>800</v>
      </c>
      <c r="D7" s="34" t="n">
        <f aca="false">B7*C7</f>
        <v>16000</v>
      </c>
      <c r="E7" s="2" t="s">
        <v>137</v>
      </c>
    </row>
    <row r="8" customFormat="false" ht="15" hidden="false" customHeight="false" outlineLevel="0" collapsed="false">
      <c r="A8" s="13" t="s">
        <v>138</v>
      </c>
      <c r="D8" s="35" t="n">
        <f aca="false">SUM(D5:D7)</f>
        <v>186000</v>
      </c>
    </row>
    <row r="10" customFormat="false" ht="15" hidden="false" customHeight="false" outlineLevel="0" collapsed="false">
      <c r="A10" s="2" t="s">
        <v>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4"/>
  </cols>
  <sheetData>
    <row r="1" customFormat="false" ht="17.35" hidden="false" customHeight="false" outlineLevel="0" collapsed="false">
      <c r="A1" s="1" t="s">
        <v>140</v>
      </c>
    </row>
    <row r="3" customFormat="false" ht="15" hidden="false" customHeight="false" outlineLevel="0" collapsed="false">
      <c r="A3" s="5" t="s">
        <v>141</v>
      </c>
      <c r="B3" s="5" t="s">
        <v>142</v>
      </c>
    </row>
    <row r="4" customFormat="false" ht="15" hidden="false" customHeight="false" outlineLevel="0" collapsed="false">
      <c r="A4" s="8" t="s">
        <v>143</v>
      </c>
      <c r="B4" s="8" t="s">
        <v>144</v>
      </c>
    </row>
    <row r="5" customFormat="false" ht="15" hidden="false" customHeight="false" outlineLevel="0" collapsed="false">
      <c r="A5" s="8" t="s">
        <v>145</v>
      </c>
      <c r="B5" s="8" t="s">
        <v>146</v>
      </c>
    </row>
    <row r="6" customFormat="false" ht="15" hidden="false" customHeight="false" outlineLevel="0" collapsed="false">
      <c r="A6" s="8" t="s">
        <v>147</v>
      </c>
      <c r="B6" s="8" t="s">
        <v>148</v>
      </c>
    </row>
    <row r="7" customFormat="false" ht="15" hidden="false" customHeight="false" outlineLevel="0" collapsed="false">
      <c r="A7" s="8" t="s">
        <v>149</v>
      </c>
      <c r="B7" s="8" t="s">
        <v>150</v>
      </c>
    </row>
    <row r="8" customFormat="false" ht="15" hidden="false" customHeight="false" outlineLevel="0" collapsed="false">
      <c r="A8" s="8" t="s">
        <v>151</v>
      </c>
      <c r="B8" s="8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64"/>
  </cols>
  <sheetData>
    <row r="1" customFormat="false" ht="17.35" hidden="false" customHeight="false" outlineLevel="0" collapsed="false">
      <c r="A1" s="1" t="s">
        <v>153</v>
      </c>
    </row>
    <row r="3" customFormat="false" ht="15" hidden="false" customHeight="false" outlineLevel="0" collapsed="false">
      <c r="A3" s="5" t="s">
        <v>154</v>
      </c>
      <c r="B3" s="5" t="s">
        <v>155</v>
      </c>
    </row>
    <row r="4" customFormat="false" ht="15" hidden="false" customHeight="false" outlineLevel="0" collapsed="false">
      <c r="A4" s="8" t="s">
        <v>156</v>
      </c>
      <c r="B4" s="8" t="s">
        <v>157</v>
      </c>
    </row>
    <row r="5" customFormat="false" ht="15" hidden="false" customHeight="false" outlineLevel="0" collapsed="false">
      <c r="A5" s="8" t="s">
        <v>158</v>
      </c>
      <c r="B5" s="8" t="s">
        <v>159</v>
      </c>
    </row>
    <row r="6" customFormat="false" ht="15" hidden="false" customHeight="false" outlineLevel="0" collapsed="false">
      <c r="A6" s="8" t="s">
        <v>160</v>
      </c>
      <c r="B6" s="8" t="s">
        <v>161</v>
      </c>
    </row>
    <row r="7" customFormat="false" ht="15" hidden="false" customHeight="false" outlineLevel="0" collapsed="false">
      <c r="A7" s="8" t="s">
        <v>162</v>
      </c>
      <c r="B7" s="8" t="s">
        <v>163</v>
      </c>
    </row>
    <row r="8" customFormat="false" ht="15" hidden="false" customHeight="false" outlineLevel="0" collapsed="false">
      <c r="A8" s="8" t="s">
        <v>164</v>
      </c>
      <c r="B8" s="8" t="s">
        <v>165</v>
      </c>
    </row>
    <row r="9" customFormat="false" ht="15" hidden="false" customHeight="false" outlineLevel="0" collapsed="false">
      <c r="A9" s="8" t="s">
        <v>166</v>
      </c>
      <c r="B9" s="8" t="s">
        <v>167</v>
      </c>
    </row>
    <row r="10" customFormat="false" ht="15" hidden="false" customHeight="false" outlineLevel="0" collapsed="false">
      <c r="A10" s="8" t="s">
        <v>168</v>
      </c>
      <c r="B10" s="8" t="s">
        <v>169</v>
      </c>
    </row>
    <row r="11" customFormat="false" ht="15" hidden="false" customHeight="false" outlineLevel="0" collapsed="false">
      <c r="A11" s="8" t="s">
        <v>170</v>
      </c>
      <c r="B11" s="8" t="s">
        <v>171</v>
      </c>
    </row>
    <row r="12" customFormat="false" ht="15" hidden="false" customHeight="false" outlineLevel="0" collapsed="false">
      <c r="A12" s="8" t="s">
        <v>172</v>
      </c>
      <c r="B12" s="8" t="s">
        <v>173</v>
      </c>
    </row>
    <row r="13" customFormat="false" ht="15" hidden="false" customHeight="false" outlineLevel="0" collapsed="false">
      <c r="A13" s="8" t="s">
        <v>174</v>
      </c>
      <c r="B13" s="8" t="s">
        <v>175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2026-06-19T12:46:47Z</dcterms:created>
  <dc:creator>openpyxl</dc:creator>
  <dc:description/>
  <dc:language>en-US</dc:language>
  <cp:lastModifiedBy/>
  <dcterms:modified xsi:type="dcterms:W3CDTF">2026-06-19T12:46:47Z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