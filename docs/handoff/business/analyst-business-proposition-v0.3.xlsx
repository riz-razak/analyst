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Assumptions" sheetId="2" state="visible" r:id="rId4"/>
    <sheet name="Net to Analyst" sheetId="3" state="visible" r:id="rId5"/>
    <sheet name="Win with One Ad" sheetId="4" state="visible" r:id="rId6"/>
    <sheet name="Direct Sponsor" sheetId="5" state="visible" r:id="rId7"/>
    <sheet name="Combined Breakeven" sheetId="6" state="visible" r:id="rId8"/>
    <sheet name="Scaling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<sst xmlns="http://schemas.openxmlformats.org/spreadsheetml/2006/main" count="131" uniqueCount="125">
  <si>
    <t xml:space="preserve">The Analyst — Business Proposition v0.3 · Net economics, one-ad path, combined breakeven</t>
  </si>
  <si>
    <t xml:space="preserve">Finance: Hasib #30 (lead), Harini #45 · Legal flag: Vinita #47 · Priya #9 · 2026-06-19 · prudent</t>
  </si>
  <si>
    <t xml:space="preserve">TAX/FOREX — net to the analyst (NOT tax advice; Vinita/Hasib to verify with IRD)</t>
  </si>
  <si>
    <t xml:space="preserve">• SL personal relief = LKR 1.8M/yr = 150k/mo ⇒ a Tier-1 (150k) salary is essentially APIT-tax-free.</t>
  </si>
  <si>
    <t xml:space="preserve">• Higher tiers taxed progressively 6–36%: Tier-2 (300k) nets ~282k; Tier-3 (500k) nets ~414k.</t>
  </si>
  <si>
    <t xml:space="preserve">• A 15% tax on FOREIGN/forex service income (AdSense, diaspora) may apply if remitted to a SL bank — model both.</t>
  </si>
  <si>
    <t xml:space="preserve">• Revenue needed to PAY the gross salary (after ~2% forex spread + $16 infra): T1 ~$518/mo, T2 ~$1,020, T3 ~$1,689.</t>
  </si>
  <si>
    <t xml:space="preserve">CAN WE "WIN" WITH ONE CLEAN AD ALONE?</t>
  </si>
  <si>
    <t xml:space="preserve">• Programmatic: Tier-1 needs ~440k–600k pageviews/mo; Tier-2 ~0.9–1.2M; Tier-3 ~1.4–1.9M. (Year 2–3+ territory.)</t>
  </si>
  <si>
    <t xml:space="preserve">• Direct-sold sole slot: ONE aligned sponsor at ~$520/mo "wins" Tier-1 sooner — but is a single patron (independence risk).</t>
  </si>
  <si>
    <t xml:space="preserve">• Verdict: one ad can win Tier-1 ONLY at scale (programmatic) or via a concentrated sponsor (patron). Not at Y1 traffic, programmatically.</t>
  </si>
  <si>
    <t xml:space="preserve">COMBINED IS HOW YOU BREAK EVEN (the realistic path)</t>
  </si>
  <si>
    <t xml:space="preserve">• At Base traffic (120k pv): sole slot ~$183 (0.7 sell-through) + ~112 members ($3) ≈ Tier-1. Conversion needed ~0.09% of pv.</t>
  </si>
  <si>
    <t xml:space="preserve">• Scaling: a stable of branded analysts sharing legal/verification/SEO — each analyst funds ~own revenue + a slice of overhead.</t>
  </si>
  <si>
    <t xml:space="preserve">RECOMMENDATION (Priya)</t>
  </si>
  <si>
    <t xml:space="preserve">Win Tier-1 via COMBINED (one clean slot — direct-sold, capped/screened — + membership), not ad-alone. Treat ad as 30–50%</t>
  </si>
  <si>
    <t xml:space="preserve">of the slot value, members as the base. Build the verification spine before ML volume. Verify tax with Vinita before any public number.</t>
  </si>
  <si>
    <t xml:space="preserve">Sheets: Assumptions · Net to Analyst · Win with One Ad · Direct Sponsor · Combined Breakeven · Scaling · Sources.</t>
  </si>
  <si>
    <t xml:space="preserve">Assumptions — edit BLUE; verify YELLOW. Prudent. Tax = illustrative, verify with IRD/Vinita.</t>
  </si>
  <si>
    <t xml:space="preserve">Salary tiers — GROSS monthly LKR (founder-stated)</t>
  </si>
  <si>
    <t xml:space="preserve">Tier-1 gross (LKR/mo)</t>
  </si>
  <si>
    <t xml:space="preserve">≈ $500. At personal relief ⇒ ~0 APIT.</t>
  </si>
  <si>
    <t xml:space="preserve">Tier-2 gross (LKR/mo)</t>
  </si>
  <si>
    <t xml:space="preserve">≈ $1,000.</t>
  </si>
  <si>
    <t xml:space="preserve">Tier-3 gross (LKR/mo)</t>
  </si>
  <si>
    <t xml:space="preserve">≈ $1,500.</t>
  </si>
  <si>
    <t xml:space="preserve">FX / tax / cost</t>
  </si>
  <si>
    <t xml:space="preserve">USD→LKR</t>
  </si>
  <si>
    <t xml:space="preserve">verify live rate</t>
  </si>
  <si>
    <t xml:space="preserve">Forex + remittance spread</t>
  </si>
  <si>
    <t xml:space="preserve">USD revenue → LKR bank conversion + fees</t>
  </si>
  <si>
    <t xml:space="preserve">Platform infra (USD/mo)</t>
  </si>
  <si>
    <t xml:space="preserve">Business Model v0.1</t>
  </si>
  <si>
    <t xml:space="preserve">APIT personal relief (LKR/yr)</t>
  </si>
  <si>
    <t xml:space="preserve">2025/26: first 1.8M tax-free. Source: SL APIT 2026.</t>
  </si>
  <si>
    <t xml:space="preserve">Foreign/forex income tax (flat)</t>
  </si>
  <si>
    <t xml:space="preserve">15% on forex service income if remitted (EconomyNext/Sunday Times 2026). VERIFY applicability.</t>
  </si>
  <si>
    <t xml:space="preserve">Ad / sponsor / membership</t>
  </si>
  <si>
    <t xml:space="preserve">Blended eff. RPM — base mix (USD/1000)</t>
  </si>
  <si>
    <t xml:space="preserve">from v0.2 (60/40 SL/diaspora, after fill+adblock)</t>
  </si>
  <si>
    <t xml:space="preserve">Blended eff. RPM — diaspora mix (USD/1000)</t>
  </si>
  <si>
    <t xml:space="preserve">from v0.2 (40/60)</t>
  </si>
  <si>
    <t xml:space="preserve">Direct sole-slot premium (×programmatic)</t>
  </si>
  <si>
    <t xml:space="preserve">sole, brand-safe, no auction → premium over programmatic</t>
  </si>
  <si>
    <t xml:space="preserve">Direct slot sell-through</t>
  </si>
  <si>
    <t xml:space="preserve">% of months the sole slot is actually sold</t>
  </si>
  <si>
    <t xml:space="preserve">Membership (USD/member/mo)</t>
  </si>
  <si>
    <t xml:space="preserve">blended; diaspora pays more (model later)</t>
  </si>
  <si>
    <t xml:space="preserve">Visitor→member conversion</t>
  </si>
  <si>
    <t xml:space="preserve">prudent 0.5–2% of monthly uniques</t>
  </si>
  <si>
    <t xml:space="preserve">Round F4 — net to analyst (tax + forex) &amp; revenue needed</t>
  </si>
  <si>
    <t xml:space="preserve">APIT computed on salary as sole income (illustrative). Forex tax shown as alternative. Verify with IRD/Vinita.</t>
  </si>
  <si>
    <t xml:space="preserve">Line</t>
  </si>
  <si>
    <t xml:space="preserve">Tier-1</t>
  </si>
  <si>
    <t xml:space="preserve">Tier-2</t>
  </si>
  <si>
    <t xml:space="preserve">Tier-3</t>
  </si>
  <si>
    <t xml:space="preserve">Gross salary (LKR/mo)</t>
  </si>
  <si>
    <t xml:space="preserve">Gross salary (LKR/yr)</t>
  </si>
  <si>
    <t xml:space="preserve">APIT income tax (LKR/yr)</t>
  </si>
  <si>
    <t xml:space="preserve">APIT tax (LKR/mo)</t>
  </si>
  <si>
    <t xml:space="preserve">Net take-home (LKR/mo, APIT)</t>
  </si>
  <si>
    <t xml:space="preserve">Effective tax rate (APIT)</t>
  </si>
  <si>
    <t xml:space="preserve">Revenue needed to pay gross (USD/mo)</t>
  </si>
  <si>
    <t xml:space="preserve">If 15% forex tax applies: rev needed (USD/mo)</t>
  </si>
  <si>
    <t xml:space="preserve">Note: Tier-1 sits at personal relief ⇒ ~0 APIT. The 15% forex line is the conservative case if AdSense/diaspora income is taxed as forex service income.</t>
  </si>
  <si>
    <t xml:space="preserve">Round F5 — can ONE clean ad win a tier alone?</t>
  </si>
  <si>
    <t xml:space="preserve">Programmatic pageviews needed, and the direct sole-sponsor monthly rate needed, to cover each tier alone.</t>
  </si>
  <si>
    <t xml:space="preserve">Revenue needed (USD/mo)</t>
  </si>
  <si>
    <t xml:space="preserve">Programmatic pageviews needed (base RPM $0.87)</t>
  </si>
  <si>
    <t xml:space="preserve">Programmatic pageviews needed (diaspora RPM $1.17)</t>
  </si>
  <si>
    <t xml:space="preserve">Direct sole-sponsor needed (flat USD/mo)</t>
  </si>
  <si>
    <t xml:space="preserve"># sponsors at $300/slot to cover tier</t>
  </si>
  <si>
    <t xml:space="preserve">Verdict: programmatic ad-alone = Year 2–3 scale (440k–1.9M pv). Direct sole-sponsor can win Tier-1 sooner = patron concentration risk.</t>
  </si>
  <si>
    <t xml:space="preserve">Round F6 — direct-sold sole-slot pipeline (market-derived value)</t>
  </si>
  <si>
    <t xml:space="preserve">Sole-slot monthly value = pageviews × (blended programmatic RPM × premium) × sell-through. Plus negotiated flat option.</t>
  </si>
  <si>
    <t xml:space="preserve">Pageviews/mo</t>
  </si>
  <si>
    <t xml:space="preserve">Slot value $/mo (base)</t>
  </si>
  <si>
    <t xml:space="preserve">Slot value $/mo (diaspora)</t>
  </si>
  <si>
    <t xml:space="preserve">vs Tier-1 ($518)</t>
  </si>
  <si>
    <t xml:space="preserve">Independence guardrails (Philosophy Forum): cap ≤20% revenue if combined w/ members; sector-screen (no politics/betting/finance/contractors); disclose advertiser; editorial firewall; commons-first (offer to own coops).</t>
  </si>
  <si>
    <t xml:space="preserve">Reading: at low Y1 traffic the sole slot is worth ~$100–300/mo market-derived; a negotiated flat deal can exceed that but concentrates the patron.</t>
  </si>
  <si>
    <t xml:space="preserve">Round F7 — combined breakeven (one slot + membership)</t>
  </si>
  <si>
    <t xml:space="preserve">ONE ad slot (direct OR programmatic) + membership. Shows members needed to hit Tier-1 at three traffic levels.</t>
  </si>
  <si>
    <t xml:space="preserve">40k pv (Lean)</t>
  </si>
  <si>
    <t xml:space="preserve">120k pv (Base)</t>
  </si>
  <si>
    <t xml:space="preserve">250k pv (Growth)</t>
  </si>
  <si>
    <t xml:space="preserve">Monthly pageviews</t>
  </si>
  <si>
    <t xml:space="preserve">Slot revenue (direct sole-slot)</t>
  </si>
  <si>
    <t xml:space="preserve">Tier-1 revenue needed (USD/mo)</t>
  </si>
  <si>
    <t xml:space="preserve">Members needed (after slot)</t>
  </si>
  <si>
    <t xml:space="preserve">Conversion implied (members ÷ pv)</t>
  </si>
  <si>
    <t xml:space="preserve">Reading: Base (120k pv): sole slot ~$183 + ~112 members ⇒ Tier-1. ~0.09% of pv as members is very achievable.</t>
  </si>
  <si>
    <t xml:space="preserve">Lean (40k pv): slot ~$61 + ~153 members. Growth (250k pv): slot ~$381 + ~46 members.</t>
  </si>
  <si>
    <t xml:space="preserve">Round F8 — scaling to a stable of branded analysts</t>
  </si>
  <si>
    <t xml:space="preserve">Each analyst funds ~own Tier-1 revenue + a share of central overhead (legal/verification/SEO). Illustrative.</t>
  </si>
  <si>
    <t xml:space="preserve">1 analyst</t>
  </si>
  <si>
    <t xml:space="preserve">3 analysts</t>
  </si>
  <si>
    <t xml:space="preserve">6 analysts</t>
  </si>
  <si>
    <t xml:space="preserve">Central overhead (USD/mo, shared)</t>
  </si>
  <si>
    <t xml:space="preserve">verification spine ops, legal, SEO/distribution, infra — flat-ish, amortised</t>
  </si>
  <si>
    <t xml:space="preserve">Analysts</t>
  </si>
  <si>
    <t xml:space="preserve">Tier-1 revenue per analyst (USD/mo)</t>
  </si>
  <si>
    <t xml:space="preserve">Total analyst revenue (USD/mo)</t>
  </si>
  <si>
    <t xml:space="preserve">+ central overhead (USD/mo)</t>
  </si>
  <si>
    <t xml:space="preserve">Total revenue needed (USD/mo)</t>
  </si>
  <si>
    <t xml:space="preserve">Overhead per analyst (USD/mo)</t>
  </si>
  <si>
    <t xml:space="preserve">Members needed (all-membership, $3)</t>
  </si>
  <si>
    <t xml:space="preserve">Marginal economics: overhead/analyst falls as the stable grows (shared services amortise). Binding constraint = verification/legal capacity, not writer count (Mara/Tech Review).</t>
  </si>
  <si>
    <t xml:space="preserve">Sources (cite before numbers leave council — SD-COMMS-COMPLIANCE-2)</t>
  </si>
  <si>
    <t xml:space="preserve">Claim</t>
  </si>
  <si>
    <t xml:space="preserve">Source</t>
  </si>
  <si>
    <t xml:space="preserve">Salary tiers 150k/300k/500k (gross LKR)</t>
  </si>
  <si>
    <t xml:space="preserve">Founder-stated [V:FOUNDER]</t>
  </si>
  <si>
    <t xml:space="preserve">APIT 2025/26: relief LKR 1.8M; bands 6–36%</t>
  </si>
  <si>
    <t xml:space="preserve">SL APIT 2026 (countrytaxcalc / checkbill / lankatax)</t>
  </si>
  <si>
    <t xml:space="preserve">15% tax on foreign/forex service income</t>
  </si>
  <si>
    <t xml:space="preserve">EconomyNext; Sunday Times 2026; taxadvisor.lk (VERIFY applicability w/ Vinita/IRD)</t>
  </si>
  <si>
    <t xml:space="preserve">Ad effective RPM (SL $0.29 / diaspora $1.76; blended $0.87–1.17)</t>
  </si>
  <si>
    <t xml:space="preserve">Business Proposition v0.2 (AdSense/EthicalAds/viewability 2026)</t>
  </si>
  <si>
    <t xml:space="preserve">Direct sole-slot premium over programmatic</t>
  </si>
  <si>
    <t xml:space="preserve">Industry norm (brand-safe sole placement); modelled 2.5x — confirm with offers</t>
  </si>
  <si>
    <t xml:space="preserve">The Examiner subscription-only comparable</t>
  </si>
  <si>
    <t xml:space="preserve">ijnet.org; examiner.media</t>
  </si>
  <si>
    <t xml:space="preserve">FX USD→LKR ~305</t>
  </si>
  <si>
    <t xml:space="preserve">ASSUMPTION — verify live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</si>
</sst>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LKR &quot;#,##0;&quot;(LKR &quot;#,##0\);\-"/>
    <numFmt numFmtId="166" formatCode="#,##0;\(#,##0\);\-"/>
    <numFmt numFmtId="167" formatCode="0%"/>
    <numFmt numFmtId="168" formatCode="\$#,##0.00;&quot;($&quot;#,##0.00\);\-"/>
    <numFmt numFmtId="169" formatCode="0.0\x"/>
    <numFmt numFmtId="170" formatCode="0.0%"/>
    <numFmt numFmtId="171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D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DE6"/>
        <bgColor rgb="FFFCEFD2"/>
      </patternFill>
    </fill>
    <fill>
      <patternFill patternType="solid">
        <fgColor rgb="FF2D5A27"/>
        <bgColor rgb="FF1F3D2B"/>
      </patternFill>
    </fill>
    <fill>
      <patternFill patternType="solid">
        <fgColor rgb="FFFFFF00"/>
        <bgColor rgb="FFFFFF00"/>
      </patternFill>
    </fill>
    <fill>
      <patternFill patternType="solid">
        <fgColor rgb="FFD7E8D4"/>
        <bgColor rgb="FFEFEDE6"/>
      </patternFill>
    </fill>
    <fill>
      <patternFill patternType="solid">
        <fgColor rgb="FFFCEFD2"/>
        <bgColor rgb="FFEFED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BD"/>
      </left>
      <right style="thin">
        <color rgb="FFC9C6BD"/>
      </right>
      <top style="thin">
        <color rgb="FFC9C6BD"/>
      </top>
      <bottom style="thin">
        <color rgb="FFC9C6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BD"/>
      <rgbColor rgb="FF808080"/>
      <rgbColor rgb="FF9999FF"/>
      <rgbColor rgb="FF993366"/>
      <rgbColor rgb="FFFCEFD2"/>
      <rgbColor rgb="FFEFED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D5A27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18</v>
      </c>
      <c r="B1" s="4"/>
    </row>
    <row r="2" customFormat="false" ht="15" hidden="false" customHeight="false" outlineLevel="0" collapsed="false">
      <c r="B2" s="4"/>
    </row>
    <row r="3" customFormat="false" ht="15" hidden="false" customHeight="false" outlineLevel="0" collapsed="false">
      <c r="A3" s="5" t="s">
        <v>19</v>
      </c>
      <c r="B3" s="6"/>
      <c r="C3" s="7"/>
    </row>
    <row r="4" customFormat="false" ht="15" hidden="false" customHeight="false" outlineLevel="0" collapsed="false">
      <c r="A4" s="8" t="s">
        <v>20</v>
      </c>
      <c r="B4" s="9" t="n">
        <v>150000</v>
      </c>
      <c r="C4" s="2" t="s">
        <v>21</v>
      </c>
    </row>
    <row r="5" customFormat="false" ht="15" hidden="false" customHeight="false" outlineLevel="0" collapsed="false">
      <c r="A5" s="8" t="s">
        <v>22</v>
      </c>
      <c r="B5" s="9" t="n">
        <v>300000</v>
      </c>
      <c r="C5" s="2" t="s">
        <v>23</v>
      </c>
    </row>
    <row r="6" customFormat="false" ht="15" hidden="false" customHeight="false" outlineLevel="0" collapsed="false">
      <c r="A6" s="8" t="s">
        <v>24</v>
      </c>
      <c r="B6" s="9" t="n">
        <v>500000</v>
      </c>
      <c r="C6" s="2" t="s">
        <v>25</v>
      </c>
    </row>
    <row r="7" customFormat="false" ht="15" hidden="false" customHeight="false" outlineLevel="0" collapsed="false">
      <c r="A7" s="5" t="s">
        <v>26</v>
      </c>
      <c r="B7" s="6"/>
      <c r="C7" s="7"/>
    </row>
    <row r="8" customFormat="false" ht="15" hidden="false" customHeight="false" outlineLevel="0" collapsed="false">
      <c r="A8" s="8" t="s">
        <v>27</v>
      </c>
      <c r="B8" s="10" t="n">
        <v>305</v>
      </c>
      <c r="C8" s="2" t="s">
        <v>28</v>
      </c>
    </row>
    <row r="9" customFormat="false" ht="15" hidden="false" customHeight="false" outlineLevel="0" collapsed="false">
      <c r="A9" s="8" t="s">
        <v>29</v>
      </c>
      <c r="B9" s="11" t="n">
        <v>0.02</v>
      </c>
      <c r="C9" s="2" t="s">
        <v>30</v>
      </c>
    </row>
    <row r="10" customFormat="false" ht="15" hidden="false" customHeight="false" outlineLevel="0" collapsed="false">
      <c r="A10" s="8" t="s">
        <v>31</v>
      </c>
      <c r="B10" s="12" t="n">
        <v>16.25</v>
      </c>
      <c r="C10" s="2" t="s">
        <v>32</v>
      </c>
    </row>
    <row r="11" customFormat="false" ht="15" hidden="false" customHeight="false" outlineLevel="0" collapsed="false">
      <c r="A11" s="8" t="s">
        <v>33</v>
      </c>
      <c r="B11" s="9" t="n">
        <v>1800000</v>
      </c>
      <c r="C11" s="2" t="s">
        <v>34</v>
      </c>
    </row>
    <row r="12" customFormat="false" ht="15" hidden="false" customHeight="false" outlineLevel="0" collapsed="false">
      <c r="A12" s="8" t="s">
        <v>35</v>
      </c>
      <c r="B12" s="13" t="n">
        <v>0.15</v>
      </c>
      <c r="C12" s="2" t="s">
        <v>36</v>
      </c>
    </row>
    <row r="13" customFormat="false" ht="15" hidden="false" customHeight="false" outlineLevel="0" collapsed="false">
      <c r="A13" s="5" t="s">
        <v>37</v>
      </c>
      <c r="B13" s="6"/>
      <c r="C13" s="7"/>
    </row>
    <row r="14" customFormat="false" ht="15" hidden="false" customHeight="false" outlineLevel="0" collapsed="false">
      <c r="A14" s="8" t="s">
        <v>38</v>
      </c>
      <c r="B14" s="12" t="n">
        <v>0.87</v>
      </c>
      <c r="C14" s="2" t="s">
        <v>39</v>
      </c>
    </row>
    <row r="15" customFormat="false" ht="15" hidden="false" customHeight="false" outlineLevel="0" collapsed="false">
      <c r="A15" s="8" t="s">
        <v>40</v>
      </c>
      <c r="B15" s="12" t="n">
        <v>1.17</v>
      </c>
      <c r="C15" s="2" t="s">
        <v>41</v>
      </c>
    </row>
    <row r="16" customFormat="false" ht="15" hidden="false" customHeight="false" outlineLevel="0" collapsed="false">
      <c r="A16" s="8" t="s">
        <v>42</v>
      </c>
      <c r="B16" s="14" t="n">
        <v>2.5</v>
      </c>
      <c r="C16" s="2" t="s">
        <v>43</v>
      </c>
    </row>
    <row r="17" customFormat="false" ht="15" hidden="false" customHeight="false" outlineLevel="0" collapsed="false">
      <c r="A17" s="8" t="s">
        <v>44</v>
      </c>
      <c r="B17" s="11" t="n">
        <v>0.7</v>
      </c>
      <c r="C17" s="2" t="s">
        <v>45</v>
      </c>
    </row>
    <row r="18" customFormat="false" ht="15" hidden="false" customHeight="false" outlineLevel="0" collapsed="false">
      <c r="A18" s="8" t="s">
        <v>46</v>
      </c>
      <c r="B18" s="12" t="n">
        <v>3</v>
      </c>
      <c r="C18" s="2" t="s">
        <v>47</v>
      </c>
    </row>
    <row r="19" customFormat="false" ht="15" hidden="false" customHeight="false" outlineLevel="0" collapsed="false">
      <c r="A19" s="8" t="s">
        <v>48</v>
      </c>
      <c r="B19" s="15" t="n">
        <v>0.01</v>
      </c>
      <c r="C19" s="2" t="s">
        <v>49</v>
      </c>
    </row>
    <row r="20" customFormat="false" ht="15" hidden="false" customHeight="false" outlineLevel="0" collapsed="false">
      <c r="B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6" t="s">
        <v>52</v>
      </c>
      <c r="B4" s="16" t="s">
        <v>53</v>
      </c>
      <c r="C4" s="16" t="s">
        <v>54</v>
      </c>
      <c r="D4" s="16" t="s">
        <v>55</v>
      </c>
    </row>
    <row r="5" customFormat="false" ht="15" hidden="false" customHeight="false" outlineLevel="0" collapsed="false">
      <c r="A5" s="8" t="s">
        <v>56</v>
      </c>
      <c r="B5" s="17" t="n">
        <f aca="false">Assumptions!$B$4</f>
        <v>150000</v>
      </c>
      <c r="C5" s="17" t="n">
        <f aca="false">Assumptions!$B$5</f>
        <v>300000</v>
      </c>
      <c r="D5" s="17" t="n">
        <f aca="false">Assumptions!$B$6</f>
        <v>500000</v>
      </c>
    </row>
    <row r="6" customFormat="false" ht="15" hidden="false" customHeight="false" outlineLevel="0" collapsed="false">
      <c r="A6" s="8" t="s">
        <v>57</v>
      </c>
      <c r="B6" s="18" t="n">
        <f aca="false">B5*12</f>
        <v>1800000</v>
      </c>
      <c r="C6" s="18" t="n">
        <f aca="false">C5*12</f>
        <v>3600000</v>
      </c>
      <c r="D6" s="18" t="n">
        <f aca="false">D5*12</f>
        <v>6000000</v>
      </c>
    </row>
    <row r="7" customFormat="false" ht="15" hidden="false" customHeight="false" outlineLevel="0" collapsed="false">
      <c r="A7" s="8" t="s">
        <v>58</v>
      </c>
      <c r="B7" s="18" t="n">
        <f aca="false">MIN(MAX(0,B6-Assumptions!$B$11),1000000)*0.06+MIN(MAX(MAX(0,B6-Assumptions!$B$11)-1000000,0),500000)*0.18+MIN(MAX(MAX(0,B6-Assumptions!$B$11)-1500000,0),500000)*0.24+MIN(MAX(MAX(0,B6-Assumptions!$B$11)-2000000,0),500000)*0.3+MAX(MAX(0,B6-Assumptions!$B$11)-2500000,0)*0.36</f>
        <v>0</v>
      </c>
      <c r="C7" s="18" t="n">
        <f aca="false">MIN(MAX(0,C6-Assumptions!$B$11),1000000)*0.06+MIN(MAX(MAX(0,C6-Assumptions!$B$11)-1000000,0),500000)*0.18+MIN(MAX(MAX(0,C6-Assumptions!$B$11)-1500000,0),500000)*0.24+MIN(MAX(MAX(0,C6-Assumptions!$B$11)-2000000,0),500000)*0.3+MAX(MAX(0,C6-Assumptions!$B$11)-2500000,0)*0.36</f>
        <v>222000</v>
      </c>
      <c r="D7" s="18" t="n">
        <f aca="false">MIN(MAX(0,D6-Assumptions!$B$11),1000000)*0.06+MIN(MAX(MAX(0,D6-Assumptions!$B$11)-1000000,0),500000)*0.18+MIN(MAX(MAX(0,D6-Assumptions!$B$11)-1500000,0),500000)*0.24+MIN(MAX(MAX(0,D6-Assumptions!$B$11)-2000000,0),500000)*0.3+MAX(MAX(0,D6-Assumptions!$B$11)-2500000,0)*0.36</f>
        <v>1032000</v>
      </c>
    </row>
    <row r="8" customFormat="false" ht="15" hidden="false" customHeight="false" outlineLevel="0" collapsed="false">
      <c r="A8" s="8" t="s">
        <v>59</v>
      </c>
      <c r="B8" s="18" t="n">
        <f aca="false">B7/12</f>
        <v>0</v>
      </c>
      <c r="C8" s="18" t="n">
        <f aca="false">C7/12</f>
        <v>18500</v>
      </c>
      <c r="D8" s="18" t="n">
        <f aca="false">D7/12</f>
        <v>86000</v>
      </c>
    </row>
    <row r="9" customFormat="false" ht="15" hidden="false" customHeight="false" outlineLevel="0" collapsed="false">
      <c r="A9" s="19" t="s">
        <v>60</v>
      </c>
      <c r="B9" s="20" t="n">
        <f aca="false">B5-B8</f>
        <v>150000</v>
      </c>
      <c r="C9" s="20" t="n">
        <f aca="false">C5-C8</f>
        <v>281500</v>
      </c>
      <c r="D9" s="20" t="n">
        <f aca="false">D5-D8</f>
        <v>414000</v>
      </c>
    </row>
    <row r="10" customFormat="false" ht="15" hidden="false" customHeight="false" outlineLevel="0" collapsed="false">
      <c r="A10" s="8" t="s">
        <v>61</v>
      </c>
      <c r="B10" s="21" t="n">
        <f aca="false">B8/B5</f>
        <v>0</v>
      </c>
      <c r="C10" s="21" t="n">
        <f aca="false">C8/C5</f>
        <v>0.0616666666666667</v>
      </c>
      <c r="D10" s="21" t="n">
        <f aca="false">D8/D5</f>
        <v>0.172</v>
      </c>
    </row>
    <row r="12" customFormat="false" ht="15" hidden="false" customHeight="false" outlineLevel="0" collapsed="false">
      <c r="A12" s="19" t="s">
        <v>62</v>
      </c>
      <c r="B12" s="22" t="n">
        <f aca="false">B5/Assumptions!$B$8/(1-Assumptions!$B$9)+Assumptions!$B$10</f>
        <v>518.090080294413</v>
      </c>
      <c r="C12" s="22" t="n">
        <f aca="false">C5/Assumptions!$B$8/(1-Assumptions!$B$9)+Assumptions!$B$10</f>
        <v>1019.93016058883</v>
      </c>
      <c r="D12" s="22" t="n">
        <f aca="false">D5/Assumptions!$B$8/(1-Assumptions!$B$9)+Assumptions!$B$10</f>
        <v>1689.05026764804</v>
      </c>
    </row>
    <row r="13" customFormat="false" ht="15" hidden="false" customHeight="false" outlineLevel="0" collapsed="false">
      <c r="A13" s="8" t="s">
        <v>63</v>
      </c>
      <c r="B13" s="23" t="n">
        <f aca="false">B12/(1-Assumptions!$B$12)</f>
        <v>609.517741522839</v>
      </c>
      <c r="C13" s="23" t="n">
        <f aca="false">C12/(1-Assumptions!$B$12)</f>
        <v>1199.91783598685</v>
      </c>
      <c r="D13" s="23" t="n">
        <f aca="false">D12/(1-Assumptions!$B$12)</f>
        <v>1987.11796193887</v>
      </c>
    </row>
    <row r="15" customFormat="false" ht="15" hidden="false" customHeight="false" outlineLevel="0" collapsed="false">
      <c r="A15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16" t="s">
        <v>52</v>
      </c>
      <c r="B4" s="16" t="s">
        <v>53</v>
      </c>
      <c r="C4" s="16" t="s">
        <v>54</v>
      </c>
      <c r="D4" s="16" t="s">
        <v>55</v>
      </c>
    </row>
    <row r="5" customFormat="false" ht="15" hidden="false" customHeight="false" outlineLevel="0" collapsed="false">
      <c r="A5" s="19" t="s">
        <v>67</v>
      </c>
      <c r="B5" s="24" t="n">
        <f aca="false">'Net to Analyst'!B12</f>
        <v>518.090080294413</v>
      </c>
      <c r="C5" s="24" t="n">
        <f aca="false">'Net to Analyst'!C12</f>
        <v>1019.93016058883</v>
      </c>
      <c r="D5" s="24" t="n">
        <f aca="false">'Net to Analyst'!D12</f>
        <v>1689.05026764804</v>
      </c>
    </row>
    <row r="6" customFormat="false" ht="15" hidden="false" customHeight="false" outlineLevel="0" collapsed="false">
      <c r="A6" s="8" t="s">
        <v>68</v>
      </c>
      <c r="B6" s="25" t="n">
        <f aca="false">'Net to Analyst'!B12/Assumptions!$B$14*1000</f>
        <v>595505.839418865</v>
      </c>
      <c r="C6" s="25" t="n">
        <f aca="false">'Net to Analyst'!C12/Assumptions!$B$14*1000</f>
        <v>1172333.51791819</v>
      </c>
      <c r="D6" s="25" t="n">
        <f aca="false">'Net to Analyst'!D12/Assumptions!$B$14*1000</f>
        <v>1941437.08925062</v>
      </c>
    </row>
    <row r="7" customFormat="false" ht="15" hidden="false" customHeight="false" outlineLevel="0" collapsed="false">
      <c r="A7" s="8" t="s">
        <v>69</v>
      </c>
      <c r="B7" s="25" t="n">
        <f aca="false">'Net to Analyst'!B12/Assumptions!$B$15*1000</f>
        <v>442812.034439669</v>
      </c>
      <c r="C7" s="25" t="n">
        <f aca="false">'Net to Analyst'!C12/Assumptions!$B$15*1000</f>
        <v>871735.17999045</v>
      </c>
      <c r="D7" s="25" t="n">
        <f aca="false">'Net to Analyst'!D12/Assumptions!$B$15*1000</f>
        <v>1443632.70739149</v>
      </c>
    </row>
    <row r="8" customFormat="false" ht="15" hidden="false" customHeight="false" outlineLevel="0" collapsed="false">
      <c r="A8" s="19" t="s">
        <v>70</v>
      </c>
      <c r="B8" s="26" t="n">
        <f aca="false">'Net to Analyst'!B12</f>
        <v>518.090080294413</v>
      </c>
      <c r="C8" s="26" t="n">
        <f aca="false">'Net to Analyst'!C12</f>
        <v>1019.93016058883</v>
      </c>
      <c r="D8" s="26" t="n">
        <f aca="false">'Net to Analyst'!D12</f>
        <v>1689.05026764804</v>
      </c>
    </row>
    <row r="9" customFormat="false" ht="15" hidden="false" customHeight="false" outlineLevel="0" collapsed="false">
      <c r="A9" s="8" t="s">
        <v>71</v>
      </c>
      <c r="B9" s="25" t="n">
        <f aca="false">ROUNDUP('Net to Analyst'!B12/300,0)</f>
        <v>2</v>
      </c>
      <c r="C9" s="25" t="n">
        <f aca="false">ROUNDUP('Net to Analyst'!C12/300,0)</f>
        <v>4</v>
      </c>
      <c r="D9" s="25" t="n">
        <f aca="false">ROUNDUP('Net to Analyst'!D12/300,0)</f>
        <v>6</v>
      </c>
    </row>
    <row r="11" customFormat="false" ht="15" hidden="false" customHeight="false" outlineLevel="0" collapsed="false">
      <c r="A11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16" t="s">
        <v>75</v>
      </c>
      <c r="B4" s="16" t="s">
        <v>76</v>
      </c>
      <c r="C4" s="16" t="s">
        <v>77</v>
      </c>
      <c r="D4" s="16" t="s">
        <v>78</v>
      </c>
    </row>
    <row r="5" customFormat="false" ht="15" hidden="false" customHeight="false" outlineLevel="0" collapsed="false">
      <c r="A5" s="27" t="n">
        <v>40000</v>
      </c>
      <c r="B5" s="28" t="n">
        <f aca="false">$A5/1000*Assumptions!$B$14*Assumptions!$B$16*Assumptions!$B$17</f>
        <v>60.9</v>
      </c>
      <c r="C5" s="28" t="n">
        <f aca="false">$A5/1000*Assumptions!$B$15*Assumptions!$B$16*Assumptions!$B$17</f>
        <v>81.9</v>
      </c>
      <c r="D5" s="29" t="str">
        <f aca="false">IF(C5&gt;='Net to Analyst'!B12,"covers Tier-1","partial")</f>
        <v>partial</v>
      </c>
    </row>
    <row r="6" customFormat="false" ht="15" hidden="false" customHeight="false" outlineLevel="0" collapsed="false">
      <c r="A6" s="27" t="n">
        <v>120000</v>
      </c>
      <c r="B6" s="28" t="n">
        <f aca="false">$A6/1000*Assumptions!$B$14*Assumptions!$B$16*Assumptions!$B$17</f>
        <v>182.7</v>
      </c>
      <c r="C6" s="28" t="n">
        <f aca="false">$A6/1000*Assumptions!$B$15*Assumptions!$B$16*Assumptions!$B$17</f>
        <v>245.7</v>
      </c>
      <c r="D6" s="29" t="str">
        <f aca="false">IF(C6&gt;='Net to Analyst'!B12,"covers Tier-1","partial")</f>
        <v>partial</v>
      </c>
    </row>
    <row r="7" customFormat="false" ht="15" hidden="false" customHeight="false" outlineLevel="0" collapsed="false">
      <c r="A7" s="27" t="n">
        <v>250000</v>
      </c>
      <c r="B7" s="28" t="n">
        <f aca="false">$A7/1000*Assumptions!$B$14*Assumptions!$B$16*Assumptions!$B$17</f>
        <v>380.625</v>
      </c>
      <c r="C7" s="28" t="n">
        <f aca="false">$A7/1000*Assumptions!$B$15*Assumptions!$B$16*Assumptions!$B$17</f>
        <v>511.875</v>
      </c>
      <c r="D7" s="29" t="str">
        <f aca="false">IF(C7&gt;='Net to Analyst'!B12,"covers Tier-1","partial")</f>
        <v>partial</v>
      </c>
    </row>
    <row r="8" customFormat="false" ht="15" hidden="false" customHeight="false" outlineLevel="0" collapsed="false">
      <c r="A8" s="27" t="n">
        <v>500000</v>
      </c>
      <c r="B8" s="28" t="n">
        <f aca="false">$A8/1000*Assumptions!$B$14*Assumptions!$B$16*Assumptions!$B$17</f>
        <v>761.25</v>
      </c>
      <c r="C8" s="28" t="n">
        <f aca="false">$A8/1000*Assumptions!$B$15*Assumptions!$B$16*Assumptions!$B$17</f>
        <v>1023.75</v>
      </c>
      <c r="D8" s="29" t="str">
        <f aca="false">IF(C8&gt;='Net to Analyst'!B12,"covers Tier-1","partial")</f>
        <v>covers Tier-1</v>
      </c>
    </row>
    <row r="10" customFormat="false" ht="15" hidden="false" customHeight="false" outlineLevel="0" collapsed="false">
      <c r="A10" s="2" t="s">
        <v>79</v>
      </c>
    </row>
    <row r="12" customFormat="false" ht="15" hidden="false" customHeight="false" outlineLevel="0" collapsed="false">
      <c r="A12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16" t="s">
        <v>52</v>
      </c>
      <c r="B4" s="16" t="s">
        <v>83</v>
      </c>
      <c r="C4" s="16" t="s">
        <v>84</v>
      </c>
      <c r="D4" s="16" t="s">
        <v>85</v>
      </c>
    </row>
    <row r="5" customFormat="false" ht="15" hidden="false" customHeight="false" outlineLevel="0" collapsed="false">
      <c r="A5" s="8" t="s">
        <v>86</v>
      </c>
      <c r="B5" s="25" t="n">
        <v>40000</v>
      </c>
      <c r="C5" s="25" t="n">
        <v>120000</v>
      </c>
      <c r="D5" s="25" t="n">
        <v>250000</v>
      </c>
    </row>
    <row r="6" customFormat="false" ht="15" hidden="false" customHeight="false" outlineLevel="0" collapsed="false">
      <c r="A6" s="8" t="s">
        <v>87</v>
      </c>
      <c r="B6" s="24" t="n">
        <f aca="false">B5/1000*Assumptions!$B$14*Assumptions!$B$16*Assumptions!$B$17</f>
        <v>60.9</v>
      </c>
      <c r="C6" s="24" t="n">
        <f aca="false">C5/1000*Assumptions!$B$14*Assumptions!$B$16*Assumptions!$B$17</f>
        <v>182.7</v>
      </c>
      <c r="D6" s="24" t="n">
        <f aca="false">D5/1000*Assumptions!$B$14*Assumptions!$B$16*Assumptions!$B$17</f>
        <v>380.625</v>
      </c>
    </row>
    <row r="7" customFormat="false" ht="15" hidden="false" customHeight="false" outlineLevel="0" collapsed="false">
      <c r="A7" s="8" t="s">
        <v>88</v>
      </c>
      <c r="B7" s="23" t="n">
        <f aca="false">'Net to Analyst'!B12</f>
        <v>518.090080294413</v>
      </c>
      <c r="C7" s="23" t="n">
        <f aca="false">'Net to Analyst'!B12</f>
        <v>518.090080294413</v>
      </c>
      <c r="D7" s="23" t="n">
        <f aca="false">'Net to Analyst'!B12</f>
        <v>518.090080294413</v>
      </c>
    </row>
    <row r="8" customFormat="false" ht="15" hidden="false" customHeight="false" outlineLevel="0" collapsed="false">
      <c r="A8" s="19" t="s">
        <v>89</v>
      </c>
      <c r="B8" s="30" t="n">
        <f aca="false">MAX(0,ROUNDUP((B7-B6)/Assumptions!$B$18,0))</f>
        <v>153</v>
      </c>
      <c r="C8" s="30" t="n">
        <f aca="false">MAX(0,ROUNDUP((C7-C6)/Assumptions!$B$18,0))</f>
        <v>112</v>
      </c>
      <c r="D8" s="30" t="n">
        <f aca="false">MAX(0,ROUNDUP((D7-D6)/Assumptions!$B$18,0))</f>
        <v>46</v>
      </c>
    </row>
    <row r="9" customFormat="false" ht="15" hidden="false" customHeight="false" outlineLevel="0" collapsed="false">
      <c r="A9" s="8" t="s">
        <v>90</v>
      </c>
      <c r="B9" s="21" t="n">
        <f aca="false">B8/B5</f>
        <v>0.003825</v>
      </c>
      <c r="C9" s="21" t="n">
        <f aca="false">C8/C5</f>
        <v>0.000933333333333333</v>
      </c>
      <c r="D9" s="21" t="n">
        <f aca="false">D8/D5</f>
        <v>0.000184</v>
      </c>
    </row>
    <row r="11" customFormat="false" ht="15" hidden="false" customHeight="false" outlineLevel="0" collapsed="false">
      <c r="A11" s="2" t="s">
        <v>91</v>
      </c>
    </row>
    <row r="12" customFormat="false" ht="15" hidden="false" customHeight="false" outlineLevel="0" collapsed="false">
      <c r="A12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16" t="s">
        <v>52</v>
      </c>
      <c r="B4" s="16" t="s">
        <v>95</v>
      </c>
      <c r="C4" s="16" t="s">
        <v>96</v>
      </c>
      <c r="D4" s="16" t="s">
        <v>97</v>
      </c>
    </row>
    <row r="5" customFormat="false" ht="15" hidden="false" customHeight="false" outlineLevel="0" collapsed="false">
      <c r="A5" s="8" t="s">
        <v>98</v>
      </c>
      <c r="B5" s="31" t="n">
        <v>400</v>
      </c>
      <c r="C5" s="2" t="s">
        <v>99</v>
      </c>
    </row>
    <row r="6" customFormat="false" ht="15" hidden="false" customHeight="false" outlineLevel="0" collapsed="false">
      <c r="A6" s="8" t="s">
        <v>100</v>
      </c>
      <c r="B6" s="27" t="n">
        <v>1</v>
      </c>
      <c r="C6" s="27" t="n">
        <v>3</v>
      </c>
      <c r="D6" s="27" t="n">
        <v>6</v>
      </c>
    </row>
    <row r="7" customFormat="false" ht="15" hidden="false" customHeight="false" outlineLevel="0" collapsed="false">
      <c r="A7" s="8" t="s">
        <v>101</v>
      </c>
      <c r="B7" s="24" t="n">
        <f aca="false">'Net to Analyst'!B12</f>
        <v>518.090080294413</v>
      </c>
      <c r="C7" s="24" t="n">
        <f aca="false">'Net to Analyst'!B12</f>
        <v>518.090080294413</v>
      </c>
      <c r="D7" s="24" t="n">
        <f aca="false">'Net to Analyst'!B12</f>
        <v>518.090080294413</v>
      </c>
    </row>
    <row r="8" customFormat="false" ht="15" hidden="false" customHeight="false" outlineLevel="0" collapsed="false">
      <c r="A8" s="8" t="s">
        <v>102</v>
      </c>
      <c r="B8" s="23" t="n">
        <f aca="false">B6*B7</f>
        <v>518.090080294413</v>
      </c>
      <c r="C8" s="23" t="n">
        <f aca="false">C6*C7</f>
        <v>1554.27024088324</v>
      </c>
      <c r="D8" s="23" t="n">
        <f aca="false">D6*D7</f>
        <v>3108.54048176648</v>
      </c>
    </row>
    <row r="9" customFormat="false" ht="15" hidden="false" customHeight="false" outlineLevel="0" collapsed="false">
      <c r="A9" s="8" t="s">
        <v>103</v>
      </c>
      <c r="B9" s="23" t="n">
        <f aca="false">$B$5</f>
        <v>400</v>
      </c>
      <c r="C9" s="23" t="n">
        <f aca="false">$B$5</f>
        <v>400</v>
      </c>
      <c r="D9" s="23" t="n">
        <f aca="false">$B$5</f>
        <v>400</v>
      </c>
    </row>
    <row r="10" customFormat="false" ht="15" hidden="false" customHeight="false" outlineLevel="0" collapsed="false">
      <c r="A10" s="19" t="s">
        <v>104</v>
      </c>
      <c r="B10" s="22" t="n">
        <f aca="false">B8+$B$5</f>
        <v>918.090080294413</v>
      </c>
      <c r="C10" s="22" t="n">
        <f aca="false">C8+$B$5</f>
        <v>1954.27024088324</v>
      </c>
      <c r="D10" s="22" t="n">
        <f aca="false">D8+$B$5</f>
        <v>3508.54048176648</v>
      </c>
    </row>
    <row r="11" customFormat="false" ht="15" hidden="false" customHeight="false" outlineLevel="0" collapsed="false">
      <c r="A11" s="8" t="s">
        <v>105</v>
      </c>
      <c r="B11" s="23" t="n">
        <f aca="false">$B$5/B6</f>
        <v>400</v>
      </c>
      <c r="C11" s="23" t="n">
        <f aca="false">$B$5/C6</f>
        <v>133.333333333333</v>
      </c>
      <c r="D11" s="23" t="n">
        <f aca="false">$B$5/D6</f>
        <v>66.6666666666667</v>
      </c>
    </row>
    <row r="12" customFormat="false" ht="15" hidden="false" customHeight="false" outlineLevel="0" collapsed="false">
      <c r="A12" s="8" t="s">
        <v>106</v>
      </c>
      <c r="B12" s="25" t="n">
        <f aca="false">ROUNDUP(B10/Assumptions!$B$18,0)</f>
        <v>307</v>
      </c>
      <c r="C12" s="25" t="n">
        <f aca="false">ROUNDUP(C10/Assumptions!$B$18,0)</f>
        <v>652</v>
      </c>
      <c r="D12" s="25" t="n">
        <f aca="false">ROUNDUP(D10/Assumptions!$B$18,0)</f>
        <v>1170</v>
      </c>
    </row>
    <row r="14" customFormat="false" ht="15" hidden="false" customHeight="false" outlineLevel="0" collapsed="false">
      <c r="A14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6"/>
  </cols>
  <sheetData>
    <row r="1" customFormat="false" ht="17.3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5" t="s">
        <v>109</v>
      </c>
      <c r="B3" s="5" t="s">
        <v>110</v>
      </c>
    </row>
    <row r="4" customFormat="false" ht="15" hidden="false" customHeight="false" outlineLevel="0" collapsed="false">
      <c r="A4" s="8" t="s">
        <v>111</v>
      </c>
      <c r="B4" s="8" t="s">
        <v>112</v>
      </c>
    </row>
    <row r="5" customFormat="false" ht="15" hidden="false" customHeight="false" outlineLevel="0" collapsed="false">
      <c r="A5" s="8" t="s">
        <v>113</v>
      </c>
      <c r="B5" s="8" t="s">
        <v>114</v>
      </c>
    </row>
    <row r="6" customFormat="false" ht="15" hidden="false" customHeight="false" outlineLevel="0" collapsed="false">
      <c r="A6" s="8" t="s">
        <v>115</v>
      </c>
      <c r="B6" s="8" t="s">
        <v>116</v>
      </c>
    </row>
    <row r="7" customFormat="false" ht="15" hidden="false" customHeight="false" outlineLevel="0" collapsed="false">
      <c r="A7" s="8" t="s">
        <v>117</v>
      </c>
      <c r="B7" s="8" t="s">
        <v>118</v>
      </c>
    </row>
    <row r="8" customFormat="false" ht="15" hidden="false" customHeight="false" outlineLevel="0" collapsed="false">
      <c r="A8" s="8" t="s">
        <v>119</v>
      </c>
      <c r="B8" s="8" t="s">
        <v>120</v>
      </c>
    </row>
    <row r="9" customFormat="false" ht="15" hidden="false" customHeight="false" outlineLevel="0" collapsed="false">
      <c r="A9" s="8" t="s">
        <v>121</v>
      </c>
      <c r="B9" s="8" t="s">
        <v>122</v>
      </c>
    </row>
    <row r="10" customFormat="false" ht="15" hidden="false" customHeight="false" outlineLevel="0" collapsed="false">
      <c r="A10" s="8" t="s">
        <v>123</v>
      </c>
      <c r="B10" s="8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2026-06-19T13:06:20Z</dcterms:created>
  <dc:creator>openpyxl</dc:creator>
  <dc:description/>
  <dc:language>en-US</dc:language>
  <cp:lastModifiedBy/>
  <dcterms:modified xsi:type="dcterms:W3CDTF">2026-06-19T13:06:20Z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