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onthly P&amp;L" sheetId="3" state="visible" r:id="rId5"/>
    <sheet name="Breakeven" sheetId="4" state="visible" r:id="rId6"/>
    <sheet name="Scenarios" sheetId="5" state="visible" r:id="rId7"/>
    <sheet name="Funding Ledg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<sst xmlns="http://schemas.openxmlformats.org/spreadsheetml/2006/main" count="151" uniqueCount="150">
  <si>
    <t xml:space="preserve">The Analyst — Business Model v0.1</t>
  </si>
  <si>
    <t xml:space="preserve">A Yan service • prepared 2026-06-19 • status: DRAFT for founder review (Riz + Sunera)</t>
  </si>
  <si>
    <t xml:space="preserve">PURPOSE</t>
  </si>
  <si>
    <t xml:space="preserve">First-pass financial operating model for The Analyst (analyst.rizrazak.com). Closes the gaps named in the</t>
  </si>
  <si>
    <t xml:space="preserve">business/financial planning stocktake: no breakeven, no burn/runway/P&amp;L, no funding ledger.</t>
  </si>
  <si>
    <t xml:space="preserve">ETHOS LOCK (from docs/strategy.md)</t>
  </si>
  <si>
    <t xml:space="preserve">• Funded by cooperative ventures + community support. NO corporate sponsorship. NO programmatic ads.</t>
  </si>
  <si>
    <t xml:space="preserve">• Independence is demonstrated, not claimed — revenue must not create an agenda or a patron.</t>
  </si>
  <si>
    <t xml:space="preserve">• Transparency: practise what we preach. This model is built to be publishable in a transparency report.</t>
  </si>
  <si>
    <t xml:space="preserve">• Reframe the stocktake gap "ad rate-card / media kit" as a SUPPORTER / MEMBERSHIP PROSPECTUS to stay on-ethos.</t>
  </si>
  <si>
    <t xml:space="preserve">HOW TO USE</t>
  </si>
  <si>
    <t xml:space="preserve">1. Edit only BLUE cells (inputs). BLACK cells are formulas; GREEN cells link across sheets. Do not overtype them.</t>
  </si>
  <si>
    <t xml:space="preserve">2. YELLOW cells are key assumptions that must be verified before this leaves draft.</t>
  </si>
  <si>
    <t xml:space="preserve">3. Sheets: Assumptions → Monthly P&amp;L → Breakeven → Scenarios → Funding Ledger.</t>
  </si>
  <si>
    <t xml:space="preserve">DATA PROVENANCE / HONESTY</t>
  </si>
  <si>
    <t xml:space="preserve">• Infra costs = current published SaaS list prices (see source notes on Assumptions). Verify against real invoices.</t>
  </si>
  <si>
    <t xml:space="preserve">• ALL revenue figures and the opening cash balance are ILLUSTRATIVE PLACEHOLDERS, not actuals. Replace with real data.</t>
  </si>
  <si>
    <t xml:space="preserve">• USD is the base currency (most infra is USD-billed). USD→LKR is a single flagged assumption — verify the live rate.</t>
  </si>
  <si>
    <t xml:space="preserve">• No public number from this model should be published until it traces to a real source, per the Analyst artifact protocol.</t>
  </si>
  <si>
    <t xml:space="preserve">OPEN QUESTIONS FOR FOUNDERS</t>
  </si>
  <si>
    <t xml:space="preserve">• Opening cash / current monthly spend (real figures)?  • Any committed grants or recurring supporters today?</t>
  </si>
  <si>
    <t xml:space="preserve">• Will Phase-2 cooperative surplus cross-subsidise journalism, and from when?  • Founder stipends: volunteer or paid?</t>
  </si>
  <si>
    <t xml:space="preserve">Assumptions — edit BLUE cells only</t>
  </si>
  <si>
    <t xml:space="preserve">Currency base: USD. All monthly costs USD unless noted. Verify YELLOW cells before publishing.</t>
  </si>
  <si>
    <t xml:space="preserve">Currency &amp; period</t>
  </si>
  <si>
    <t xml:space="preserve">USD → LKR exchange rate</t>
  </si>
  <si>
    <t xml:space="preserve">ASSUMPTION — verify current mid-market rate (placeholder).</t>
  </si>
  <si>
    <t xml:space="preserve">Model horizon</t>
  </si>
  <si>
    <t xml:space="preserve">Jul 2026 – Jun 2027</t>
  </si>
  <si>
    <t xml:space="preserve">Model period = Year 1 (12 months)</t>
  </si>
  <si>
    <t xml:space="preserve">Infrastructure — fixed (USD / month)</t>
  </si>
  <si>
    <t xml:space="preserve">Cloudflare Workers Paid</t>
  </si>
  <si>
    <t xml:space="preserve">Source: Cloudflare Workers pricing, 2026 — $5/mo base (10M req, 30M CPU-ms).</t>
  </si>
  <si>
    <t xml:space="preserve">Supabase (Free=0 / Pro=25)</t>
  </si>
  <si>
    <t xml:space="preserve">Source: Supabase pricing 2026 — Free tier viable now; Pro $25/mo when limits hit.</t>
  </si>
  <si>
    <t xml:space="preserve">Resend email (Free=0 / Pro=20)</t>
  </si>
  <si>
    <t xml:space="preserve">Source: Resend pricing 2026 — Free 3,000 emails/mo (100/day); Pro $20/mo.</t>
  </si>
  <si>
    <t xml:space="preserve">Domain (amortised /mo)</t>
  </si>
  <si>
    <t xml:space="preserve">rizrazak.com at-cost registrar ~$15/yr; GitHub Pages hosting free.</t>
  </si>
  <si>
    <t xml:space="preserve">Misc tools / buffer</t>
  </si>
  <si>
    <t xml:space="preserve">Backups, analytics, fonts, small SaaS buffer — adjust to real.</t>
  </si>
  <si>
    <t xml:space="preserve">Total infra / month</t>
  </si>
  <si>
    <t xml:space="preserve">People — stipends (USD / month)</t>
  </si>
  <si>
    <t xml:space="preserve">Editorial stipend (Riz)</t>
  </si>
  <si>
    <t xml:space="preserve">Default 0 = volunteer. Enter target stipend when funded.</t>
  </si>
  <si>
    <t xml:space="preserve">Co-founder stipend (Sunera)</t>
  </si>
  <si>
    <t xml:space="preserve">Default 0 = volunteer. Sunera Bandara, co-founder (joined Jun 2026).</t>
  </si>
  <si>
    <t xml:space="preserve">Translation / contributor pool</t>
  </si>
  <si>
    <t xml:space="preserve">Sinhala/Tamil contributors, fact-check, per Google-baseline translation policy.</t>
  </si>
  <si>
    <t xml:space="preserve">Total people / month</t>
  </si>
  <si>
    <t xml:space="preserve">One-off / annual (USD) — amortised monthly</t>
  </si>
  <si>
    <t xml:space="preserve">Legal contingency reserve (annual)</t>
  </si>
  <si>
    <t xml:space="preserve">Defamation/ICCPR risk per strategy.md threat model. Fund when able.</t>
  </si>
  <si>
    <t xml:space="preserve">Design / asset pipeline (annual)</t>
  </si>
  <si>
    <t xml:space="preserve">Thumbnails, hero images, brand assets.</t>
  </si>
  <si>
    <t xml:space="preserve">One-off amortised / month</t>
  </si>
  <si>
    <t xml:space="preserve">Revenue drivers — ILLUSTRATIVE (replace with real)</t>
  </si>
  <si>
    <t xml:space="preserve">Recurring supporters at start (count)</t>
  </si>
  <si>
    <t xml:space="preserve">Members/patrons giving monthly. Placeholder — enter real.</t>
  </si>
  <si>
    <t xml:space="preserve">Avg recurring pledge (USD / supporter / mo)</t>
  </si>
  <si>
    <t xml:space="preserve">Blended SL + diaspora. Diaspora skews higher; SL lower.</t>
  </si>
  <si>
    <t xml:space="preserve">Recurring supporter growth (% / month)</t>
  </si>
  <si>
    <t xml:space="preserve">Month-over-month net growth. Keep conservative for v0.1.</t>
  </si>
  <si>
    <t xml:space="preserve">One-off pledges / donations (USD / mo)</t>
  </si>
  <si>
    <t xml:space="preserve">From pledge-portal funnel (caravan-fresh). Placeholder.</t>
  </si>
  <si>
    <t xml:space="preserve">Aligned grants (USD / year)</t>
  </si>
  <si>
    <t xml:space="preserve">Press-freedom/journalism foundations only; no agenda strings. Spread /12.</t>
  </si>
  <si>
    <t xml:space="preserve">Cooperative surplus transfer (USD / mo, start)</t>
  </si>
  <si>
    <t xml:space="preserve">Phase-2 ventures cross-subsidising journalism. 0 until ventures live.</t>
  </si>
  <si>
    <t xml:space="preserve">Cooperative surplus growth (% / month)</t>
  </si>
  <si>
    <t xml:space="preserve">Once a venture is operating.</t>
  </si>
  <si>
    <t xml:space="preserve">Starting position</t>
  </si>
  <si>
    <t xml:space="preserve">Opening cash (USD)</t>
  </si>
  <si>
    <t xml:space="preserve">Enter real available runway capital. Placeholder 0.</t>
  </si>
  <si>
    <t xml:space="preserve">Monthly P&amp;L &amp; Runway (USD) — Year 1</t>
  </si>
  <si>
    <t xml:space="preserve">BLACK = formulas; GREEN = links to Assumptions. All driven by the Assumptions sheet.</t>
  </si>
  <si>
    <t xml:space="preserve">Line item (USD)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</si>
  <si>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</si>
  <si>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</si>
  <si>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</si>
  <si>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</si>
  <si>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</si>
  <si>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</si>
  <si>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</si>
  <si>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</si>
  <si>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</si>
  <si>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</si>
  <si>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</si>
  <si>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</si>
  <si>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Year 1</t>
  </si>
  <si>
    <t xml:space="preserve">REVENUE</t>
  </si>
  <si>
    <t xml:space="preserve">Recurring supporters (count)</t>
  </si>
  <si>
    <t xml:space="preserve">Recurring pledge revenue</t>
  </si>
  <si>
    <t xml:space="preserve">One-off pledges / donations</t>
  </si>
  <si>
    <t xml:space="preserve">Aligned grants (amortised)</t>
  </si>
  <si>
    <t xml:space="preserve">Cooperative surplus transfer</t>
  </si>
  <si>
    <t xml:space="preserve">Total revenue</t>
  </si>
  <si>
    <t xml:space="preserve">OPERATING COSTS</t>
  </si>
  <si>
    <t xml:space="preserve">Cloudflare Workers</t>
  </si>
  <si>
    <t xml:space="preserve">Supabase</t>
  </si>
  <si>
    <t xml:space="preserve">Resend email</t>
  </si>
  <si>
    <t xml:space="preserve">Domain (amortised)</t>
  </si>
  <si>
    <t xml:space="preserve">People / stipends</t>
  </si>
  <si>
    <t xml:space="preserve">One-off / annual (amortised)</t>
  </si>
  <si>
    <t xml:space="preserve">Total costs</t>
  </si>
  <si>
    <t xml:space="preserve">Net surplus / (deficit)</t>
  </si>
  <si>
    <t xml:space="preserve">Opening cash</t>
  </si>
  <si>
    <t xml:space="preserve">Closing cash</t>
  </si>
  <si>
    <t xml:space="preserve">Year-1 net surplus / (deficit):</t>
  </si>
  <si>
    <t xml:space="preserve">Avg monthly burn if revenue=0 (USD):</t>
  </si>
  <si>
    <t xml:space="preserve">Runway at current opening cash &amp; zero revenue (months):</t>
  </si>
  <si>
    <t xml:space="preserve">Breakeven — how much community support covers the platform</t>
  </si>
  <si>
    <t xml:space="preserve">Breakeven = total monthly cost ÷ average recurring pledge. Black cells are formulas.</t>
  </si>
  <si>
    <t xml:space="preserve">Total fixed cost / month (infra + people + amortised)</t>
  </si>
  <si>
    <t xml:space="preserve">Average recurring pledge (USD / supporter / mo)</t>
  </si>
  <si>
    <t xml:space="preserve">Breakeven supporters needed (recurring only)</t>
  </si>
  <si>
    <t xml:space="preserve">Current recurring supporters</t>
  </si>
  <si>
    <t xml:space="preserve">Gap to breakeven (supporters)</t>
  </si>
  <si>
    <t xml:space="preserve">Breakeven in LKR / month</t>
  </si>
  <si>
    <t xml:space="preserve">Note: at $0 stipends, breakeven is just infra — a few dozen modest supporters. Stipends raise the bar materially.</t>
  </si>
  <si>
    <t xml:space="preserve">Scenarios — Year 1 (USD)</t>
  </si>
  <si>
    <t xml:space="preserve">Edit BLUE supporter &amp; pledge inputs per scenario; fixed annual cost links from Assumptions.</t>
  </si>
  <si>
    <t xml:space="preserve">Driver</t>
  </si>
  <si>
    <t xml:space="preserve">Lean</t>
  </si>
  <si>
    <t xml:space="preserve">Base</t>
  </si>
  <si>
    <t xml:space="preserve">Growth</t>
  </si>
  <si>
    <t xml:space="preserve">Recurring supporters (avg)</t>
  </si>
  <si>
    <t xml:space="preserve">Avg pledge (USD/mo)</t>
  </si>
  <si>
    <t xml:space="preserve">One-off + grants (USD/yr)</t>
  </si>
  <si>
    <t xml:space="preserve">Coop surplus (USD/yr)</t>
  </si>
  <si>
    <t xml:space="preserve">Annual revenue (USD)</t>
  </si>
  <si>
    <t xml:space="preserve">Annual fixed cost (USD)</t>
  </si>
  <si>
    <t xml:space="preserve">Net Year 1 (USD)</t>
  </si>
  <si>
    <t xml:space="preserve">Funding Ledger (starter) — committed vs received</t>
  </si>
  <si>
    <t xml:space="preserve">Schema brief for the future database-backed ledger. Every entry must carry a Source ID for traceability.</t>
  </si>
  <si>
    <t xml:space="preserve">Date</t>
  </si>
  <si>
    <t xml:space="preserve">Source / Supporter</t>
  </si>
  <si>
    <t xml:space="preserve">Type</t>
  </si>
  <si>
    <t xml:space="preserve">Currency</t>
  </si>
  <si>
    <t xml:space="preserve">Amount</t>
  </si>
  <si>
    <t xml:space="preserve">Status</t>
  </si>
  <si>
    <t xml:space="preserve">Restriction</t>
  </si>
  <si>
    <t xml:space="preserve">Notes</t>
  </si>
  <si>
    <t xml:space="preserve">Source ID</t>
  </si>
  <si>
    <t xml:space="preserve">recurring | one-off | grant | coop-surplus</t>
  </si>
  <si>
    <t xml:space="preserve">committed | received</t>
  </si>
  <si>
    <t xml:space="preserve">Received total</t>
  </si>
  <si>
    <t xml:space="preserve">Committed total</t>
  </si>
  <si>
    <t xml:space="preserve">Schema fields: date, source, type(enum), currency, amount(numeric), status(enum), restriction(text), notes, source_id(FK).</t>
  </si>
  <si>
    <t xml:space="preserve">Belongs in the central Yan People/finance store eventually; do NOT build a parallel Analyst-only funding DB without approval.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</si>
</sst>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.00;&quot;($&quot;#,##0.00\);\-"/>
    <numFmt numFmtId="167" formatCode="\$#,##0;&quot;($&quot;#,##0\);\-"/>
    <numFmt numFmtId="168" formatCode="0.0%"/>
    <numFmt numFmtId="169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D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DE6"/>
        <bgColor rgb="FFFFFFFF"/>
      </patternFill>
    </fill>
    <fill>
      <patternFill patternType="solid">
        <fgColor rgb="FF2D5A27"/>
        <bgColor rgb="FF1F3D2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BD"/>
      </left>
      <right style="thin">
        <color rgb="FFC9C6BD"/>
      </right>
      <top style="thin">
        <color rgb="FFC9C6BD"/>
      </top>
      <bottom style="thin">
        <color rgb="FFC9C6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BD"/>
      <rgbColor rgb="FF808080"/>
      <rgbColor rgb="FF9999FF"/>
      <rgbColor rgb="FF993366"/>
      <rgbColor rgb="FFEFED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D5A27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0" t="s">
        <v>20</v>
      </c>
    </row>
    <row r="27" customFormat="false" ht="15" hidden="false" customHeight="false" outlineLevel="0" collapsed="false">
      <c r="A27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22</v>
      </c>
      <c r="B1" s="4"/>
    </row>
    <row r="2" customFormat="false" ht="15" hidden="false" customHeight="false" outlineLevel="0" collapsed="false">
      <c r="A2" s="2" t="s">
        <v>23</v>
      </c>
      <c r="B2" s="4"/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A4" s="5" t="s">
        <v>24</v>
      </c>
      <c r="B4" s="6"/>
      <c r="C4" s="5"/>
    </row>
    <row r="5" customFormat="false" ht="15" hidden="false" customHeight="false" outlineLevel="0" collapsed="false">
      <c r="A5" s="7" t="s">
        <v>25</v>
      </c>
      <c r="B5" s="8" t="n">
        <v>305</v>
      </c>
      <c r="C5" s="2" t="s">
        <v>26</v>
      </c>
    </row>
    <row r="6" customFormat="false" ht="15" hidden="false" customHeight="false" outlineLevel="0" collapsed="false">
      <c r="A6" s="7" t="s">
        <v>27</v>
      </c>
      <c r="B6" s="9" t="s">
        <v>28</v>
      </c>
    </row>
    <row r="7" customFormat="false" ht="15" hidden="false" customHeight="false" outlineLevel="0" collapsed="false">
      <c r="A7" s="2" t="s">
        <v>29</v>
      </c>
      <c r="B7" s="4"/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A9" s="5" t="s">
        <v>30</v>
      </c>
      <c r="B9" s="6"/>
      <c r="C9" s="5"/>
    </row>
    <row r="10" customFormat="false" ht="15" hidden="false" customHeight="false" outlineLevel="0" collapsed="false">
      <c r="A10" s="7" t="s">
        <v>31</v>
      </c>
      <c r="B10" s="10" t="n">
        <v>5</v>
      </c>
      <c r="C10" s="2" t="s">
        <v>32</v>
      </c>
    </row>
    <row r="11" customFormat="false" ht="15" hidden="false" customHeight="false" outlineLevel="0" collapsed="false">
      <c r="A11" s="7" t="s">
        <v>33</v>
      </c>
      <c r="B11" s="10" t="n">
        <v>0</v>
      </c>
      <c r="C11" s="2" t="s">
        <v>34</v>
      </c>
    </row>
    <row r="12" customFormat="false" ht="15" hidden="false" customHeight="false" outlineLevel="0" collapsed="false">
      <c r="A12" s="7" t="s">
        <v>35</v>
      </c>
      <c r="B12" s="10" t="n">
        <v>0</v>
      </c>
      <c r="C12" s="2" t="s">
        <v>36</v>
      </c>
    </row>
    <row r="13" customFormat="false" ht="15" hidden="false" customHeight="false" outlineLevel="0" collapsed="false">
      <c r="A13" s="7" t="s">
        <v>37</v>
      </c>
      <c r="B13" s="10" t="n">
        <v>1.25</v>
      </c>
      <c r="C13" s="2" t="s">
        <v>38</v>
      </c>
    </row>
    <row r="14" customFormat="false" ht="15" hidden="false" customHeight="false" outlineLevel="0" collapsed="false">
      <c r="A14" s="7" t="s">
        <v>39</v>
      </c>
      <c r="B14" s="10" t="n">
        <v>10</v>
      </c>
      <c r="C14" s="2" t="s">
        <v>40</v>
      </c>
    </row>
    <row r="15" customFormat="false" ht="15" hidden="false" customHeight="false" outlineLevel="0" collapsed="false">
      <c r="A15" s="11" t="s">
        <v>41</v>
      </c>
      <c r="B15" s="12" t="n">
        <f aca="false">SUM(B10:B14)</f>
        <v>16.25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A17" s="5" t="s">
        <v>42</v>
      </c>
      <c r="B17" s="6"/>
      <c r="C17" s="5"/>
    </row>
    <row r="18" customFormat="false" ht="15" hidden="false" customHeight="false" outlineLevel="0" collapsed="false">
      <c r="A18" s="7" t="s">
        <v>43</v>
      </c>
      <c r="B18" s="10" t="n">
        <v>0</v>
      </c>
      <c r="C18" s="2" t="s">
        <v>44</v>
      </c>
    </row>
    <row r="19" customFormat="false" ht="15" hidden="false" customHeight="false" outlineLevel="0" collapsed="false">
      <c r="A19" s="7" t="s">
        <v>45</v>
      </c>
      <c r="B19" s="10" t="n">
        <v>0</v>
      </c>
      <c r="C19" s="2" t="s">
        <v>46</v>
      </c>
    </row>
    <row r="20" customFormat="false" ht="15" hidden="false" customHeight="false" outlineLevel="0" collapsed="false">
      <c r="A20" s="7" t="s">
        <v>47</v>
      </c>
      <c r="B20" s="10" t="n">
        <v>0</v>
      </c>
      <c r="C20" s="2" t="s">
        <v>48</v>
      </c>
    </row>
    <row r="21" customFormat="false" ht="15" hidden="false" customHeight="false" outlineLevel="0" collapsed="false">
      <c r="A21" s="11" t="s">
        <v>49</v>
      </c>
      <c r="B21" s="12" t="n">
        <f aca="false">SUM(B18:B20)</f>
        <v>0</v>
      </c>
    </row>
    <row r="22" customFormat="false" ht="15" hidden="false" customHeight="false" outlineLevel="0" collapsed="false">
      <c r="B22" s="4"/>
    </row>
    <row r="23" customFormat="false" ht="15" hidden="false" customHeight="false" outlineLevel="0" collapsed="false">
      <c r="A23" s="5" t="s">
        <v>50</v>
      </c>
      <c r="B23" s="6"/>
      <c r="C23" s="5"/>
    </row>
    <row r="24" customFormat="false" ht="15" hidden="false" customHeight="false" outlineLevel="0" collapsed="false">
      <c r="A24" s="7" t="s">
        <v>51</v>
      </c>
      <c r="B24" s="13" t="n">
        <v>0</v>
      </c>
      <c r="C24" s="2" t="s">
        <v>52</v>
      </c>
    </row>
    <row r="25" customFormat="false" ht="15" hidden="false" customHeight="false" outlineLevel="0" collapsed="false">
      <c r="A25" s="7" t="s">
        <v>53</v>
      </c>
      <c r="B25" s="14" t="n">
        <v>0</v>
      </c>
      <c r="C25" s="2" t="s">
        <v>54</v>
      </c>
    </row>
    <row r="26" customFormat="false" ht="15" hidden="false" customHeight="false" outlineLevel="0" collapsed="false">
      <c r="A26" s="11" t="s">
        <v>55</v>
      </c>
      <c r="B26" s="12" t="n">
        <f aca="false">(B24+B25)/12</f>
        <v>0</v>
      </c>
    </row>
    <row r="27" customFormat="false" ht="15" hidden="false" customHeight="false" outlineLevel="0" collapsed="false">
      <c r="B27" s="4"/>
    </row>
    <row r="28" customFormat="false" ht="15" hidden="false" customHeight="false" outlineLevel="0" collapsed="false">
      <c r="A28" s="5" t="s">
        <v>56</v>
      </c>
      <c r="B28" s="6"/>
      <c r="C28" s="5"/>
    </row>
    <row r="29" customFormat="false" ht="15" hidden="false" customHeight="false" outlineLevel="0" collapsed="false">
      <c r="A29" s="7" t="s">
        <v>57</v>
      </c>
      <c r="B29" s="8" t="n">
        <v>0</v>
      </c>
      <c r="C29" s="2" t="s">
        <v>58</v>
      </c>
    </row>
    <row r="30" customFormat="false" ht="15" hidden="false" customHeight="false" outlineLevel="0" collapsed="false">
      <c r="A30" s="7" t="s">
        <v>59</v>
      </c>
      <c r="B30" s="10" t="n">
        <v>3</v>
      </c>
      <c r="C30" s="2" t="s">
        <v>60</v>
      </c>
    </row>
    <row r="31" customFormat="false" ht="15" hidden="false" customHeight="false" outlineLevel="0" collapsed="false">
      <c r="A31" s="7" t="s">
        <v>61</v>
      </c>
      <c r="B31" s="15" t="n">
        <v>0</v>
      </c>
      <c r="C31" s="2" t="s">
        <v>62</v>
      </c>
    </row>
    <row r="32" customFormat="false" ht="15" hidden="false" customHeight="false" outlineLevel="0" collapsed="false">
      <c r="A32" s="7" t="s">
        <v>63</v>
      </c>
      <c r="B32" s="14" t="n">
        <v>0</v>
      </c>
      <c r="C32" s="2" t="s">
        <v>64</v>
      </c>
    </row>
    <row r="33" customFormat="false" ht="15" hidden="false" customHeight="false" outlineLevel="0" collapsed="false">
      <c r="A33" s="7" t="s">
        <v>65</v>
      </c>
      <c r="B33" s="14" t="n">
        <v>0</v>
      </c>
      <c r="C33" s="2" t="s">
        <v>66</v>
      </c>
    </row>
    <row r="34" customFormat="false" ht="15" hidden="false" customHeight="false" outlineLevel="0" collapsed="false">
      <c r="A34" s="7" t="s">
        <v>67</v>
      </c>
      <c r="B34" s="14" t="n">
        <v>0</v>
      </c>
      <c r="C34" s="2" t="s">
        <v>68</v>
      </c>
    </row>
    <row r="35" customFormat="false" ht="15" hidden="false" customHeight="false" outlineLevel="0" collapsed="false">
      <c r="A35" s="7" t="s">
        <v>69</v>
      </c>
      <c r="B35" s="15" t="n">
        <v>0</v>
      </c>
      <c r="C35" s="2" t="s">
        <v>70</v>
      </c>
    </row>
    <row r="36" customFormat="false" ht="15" hidden="false" customHeight="false" outlineLevel="0" collapsed="false">
      <c r="B36" s="4"/>
    </row>
    <row r="37" customFormat="false" ht="15" hidden="false" customHeight="false" outlineLevel="0" collapsed="false">
      <c r="A37" s="5" t="s">
        <v>71</v>
      </c>
      <c r="B37" s="6"/>
      <c r="C37" s="5"/>
    </row>
    <row r="38" customFormat="false" ht="15" hidden="false" customHeight="false" outlineLevel="0" collapsed="false">
      <c r="A38" s="7" t="s">
        <v>72</v>
      </c>
      <c r="B38" s="13" t="n">
        <v>0</v>
      </c>
      <c r="C38" s="2" t="s">
        <v>73</v>
      </c>
    </row>
    <row r="39" customFormat="false" ht="15" hidden="false" customHeight="false" outlineLevel="0" collapsed="false">
      <c r="B3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10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74</v>
      </c>
    </row>
    <row r="2" customFormat="false" ht="15" hidden="false" customHeight="false" outlineLevel="0" collapsed="false">
      <c r="A2" s="2" t="s">
        <v>75</v>
      </c>
    </row>
    <row r="4" customFormat="false" ht="15" hidden="false" customHeight="false" outlineLevel="0" collapsed="false">
      <c r="A4" s="5" t="s">
        <v>76</v>
      </c>
      <c r="B4" s="16" t="s">
        <v>77</v>
      </c>
      <c r="C4" s="16" t="s">
        <v>78</v>
      </c>
      <c r="D4" s="16" t="s">
        <v>79</v>
      </c>
      <c r="E4" s="16" t="s">
        <v>80</v>
      </c>
      <c r="F4" s="16" t="s">
        <v>81</v>
      </c>
      <c r="G4" s="16" t="s">
        <v>82</v>
      </c>
      <c r="H4" s="16" t="s">
        <v>83</v>
      </c>
      <c r="I4" s="16" t="s">
        <v>84</v>
      </c>
      <c r="J4" s="16" t="s">
        <v>85</v>
      </c>
      <c r="K4" s="16" t="s">
        <v>86</v>
      </c>
      <c r="L4" s="16" t="s">
        <v>87</v>
      </c>
      <c r="M4" s="16" t="s">
        <v>88</v>
      </c>
      <c r="N4" s="16" t="s">
        <v>89</v>
      </c>
    </row>
    <row r="5" customFormat="false" ht="15" hidden="false" customHeight="false" outlineLevel="0" collapsed="false">
      <c r="A5" s="3" t="s">
        <v>90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customFormat="false" ht="15" hidden="false" customHeight="false" outlineLevel="0" collapsed="false">
      <c r="A6" s="7" t="s">
        <v>91</v>
      </c>
      <c r="B6" s="18" t="n">
        <f aca="false">Assumptions!B29</f>
        <v>0</v>
      </c>
      <c r="C6" s="19" t="n">
        <f aca="false">B6*(1+Assumptions!$B$31)</f>
        <v>0</v>
      </c>
      <c r="D6" s="19" t="n">
        <f aca="false">C6*(1+Assumptions!$B$31)</f>
        <v>0</v>
      </c>
      <c r="E6" s="19" t="n">
        <f aca="false">D6*(1+Assumptions!$B$31)</f>
        <v>0</v>
      </c>
      <c r="F6" s="19" t="n">
        <f aca="false">E6*(1+Assumptions!$B$31)</f>
        <v>0</v>
      </c>
      <c r="G6" s="19" t="n">
        <f aca="false">F6*(1+Assumptions!$B$31)</f>
        <v>0</v>
      </c>
      <c r="H6" s="19" t="n">
        <f aca="false">G6*(1+Assumptions!$B$31)</f>
        <v>0</v>
      </c>
      <c r="I6" s="19" t="n">
        <f aca="false">H6*(1+Assumptions!$B$31)</f>
        <v>0</v>
      </c>
      <c r="J6" s="19" t="n">
        <f aca="false">I6*(1+Assumptions!$B$31)</f>
        <v>0</v>
      </c>
      <c r="K6" s="19" t="n">
        <f aca="false">J6*(1+Assumptions!$B$31)</f>
        <v>0</v>
      </c>
      <c r="L6" s="19" t="n">
        <f aca="false">K6*(1+Assumptions!$B$31)</f>
        <v>0</v>
      </c>
      <c r="M6" s="19" t="n">
        <f aca="false">L6*(1+Assumptions!$B$31)</f>
        <v>0</v>
      </c>
      <c r="N6" s="20" t="n">
        <f aca="false">M6</f>
        <v>0</v>
      </c>
    </row>
    <row r="7" customFormat="false" ht="15" hidden="false" customHeight="false" outlineLevel="0" collapsed="false">
      <c r="A7" s="7" t="s">
        <v>92</v>
      </c>
      <c r="B7" s="21" t="n">
        <f aca="false">B6*Assumptions!$B$30</f>
        <v>0</v>
      </c>
      <c r="C7" s="21" t="n">
        <f aca="false">C6*Assumptions!$B$30</f>
        <v>0</v>
      </c>
      <c r="D7" s="21" t="n">
        <f aca="false">D6*Assumptions!$B$30</f>
        <v>0</v>
      </c>
      <c r="E7" s="21" t="n">
        <f aca="false">E6*Assumptions!$B$30</f>
        <v>0</v>
      </c>
      <c r="F7" s="21" t="n">
        <f aca="false">F6*Assumptions!$B$30</f>
        <v>0</v>
      </c>
      <c r="G7" s="21" t="n">
        <f aca="false">G6*Assumptions!$B$30</f>
        <v>0</v>
      </c>
      <c r="H7" s="21" t="n">
        <f aca="false">H6*Assumptions!$B$30</f>
        <v>0</v>
      </c>
      <c r="I7" s="21" t="n">
        <f aca="false">I6*Assumptions!$B$30</f>
        <v>0</v>
      </c>
      <c r="J7" s="21" t="n">
        <f aca="false">J6*Assumptions!$B$30</f>
        <v>0</v>
      </c>
      <c r="K7" s="21" t="n">
        <f aca="false">K6*Assumptions!$B$30</f>
        <v>0</v>
      </c>
      <c r="L7" s="21" t="n">
        <f aca="false">L6*Assumptions!$B$30</f>
        <v>0</v>
      </c>
      <c r="M7" s="21" t="n">
        <f aca="false">M6*Assumptions!$B$30</f>
        <v>0</v>
      </c>
      <c r="N7" s="22" t="n">
        <f aca="false">SUM(B7:M7)</f>
        <v>0</v>
      </c>
    </row>
    <row r="8" customFormat="false" ht="15" hidden="false" customHeight="false" outlineLevel="0" collapsed="false">
      <c r="A8" s="7" t="s">
        <v>93</v>
      </c>
      <c r="B8" s="21" t="n">
        <f aca="false">Assumptions!$B$32</f>
        <v>0</v>
      </c>
      <c r="C8" s="21" t="n">
        <f aca="false">Assumptions!$B$32</f>
        <v>0</v>
      </c>
      <c r="D8" s="21" t="n">
        <f aca="false">Assumptions!$B$32</f>
        <v>0</v>
      </c>
      <c r="E8" s="21" t="n">
        <f aca="false">Assumptions!$B$32</f>
        <v>0</v>
      </c>
      <c r="F8" s="21" t="n">
        <f aca="false">Assumptions!$B$32</f>
        <v>0</v>
      </c>
      <c r="G8" s="21" t="n">
        <f aca="false">Assumptions!$B$32</f>
        <v>0</v>
      </c>
      <c r="H8" s="21" t="n">
        <f aca="false">Assumptions!$B$32</f>
        <v>0</v>
      </c>
      <c r="I8" s="21" t="n">
        <f aca="false">Assumptions!$B$32</f>
        <v>0</v>
      </c>
      <c r="J8" s="21" t="n">
        <f aca="false">Assumptions!$B$32</f>
        <v>0</v>
      </c>
      <c r="K8" s="21" t="n">
        <f aca="false">Assumptions!$B$32</f>
        <v>0</v>
      </c>
      <c r="L8" s="21" t="n">
        <f aca="false">Assumptions!$B$32</f>
        <v>0</v>
      </c>
      <c r="M8" s="21" t="n">
        <f aca="false">Assumptions!$B$32</f>
        <v>0</v>
      </c>
      <c r="N8" s="22" t="n">
        <f aca="false">SUM(B8:M8)</f>
        <v>0</v>
      </c>
    </row>
    <row r="9" customFormat="false" ht="15" hidden="false" customHeight="false" outlineLevel="0" collapsed="false">
      <c r="A9" s="7" t="s">
        <v>94</v>
      </c>
      <c r="B9" s="21" t="n">
        <f aca="false">Assumptions!$B$33/12</f>
        <v>0</v>
      </c>
      <c r="C9" s="21" t="n">
        <f aca="false">Assumptions!$B$33/12</f>
        <v>0</v>
      </c>
      <c r="D9" s="21" t="n">
        <f aca="false">Assumptions!$B$33/12</f>
        <v>0</v>
      </c>
      <c r="E9" s="21" t="n">
        <f aca="false">Assumptions!$B$33/12</f>
        <v>0</v>
      </c>
      <c r="F9" s="21" t="n">
        <f aca="false">Assumptions!$B$33/12</f>
        <v>0</v>
      </c>
      <c r="G9" s="21" t="n">
        <f aca="false">Assumptions!$B$33/12</f>
        <v>0</v>
      </c>
      <c r="H9" s="21" t="n">
        <f aca="false">Assumptions!$B$33/12</f>
        <v>0</v>
      </c>
      <c r="I9" s="21" t="n">
        <f aca="false">Assumptions!$B$33/12</f>
        <v>0</v>
      </c>
      <c r="J9" s="21" t="n">
        <f aca="false">Assumptions!$B$33/12</f>
        <v>0</v>
      </c>
      <c r="K9" s="21" t="n">
        <f aca="false">Assumptions!$B$33/12</f>
        <v>0</v>
      </c>
      <c r="L9" s="21" t="n">
        <f aca="false">Assumptions!$B$33/12</f>
        <v>0</v>
      </c>
      <c r="M9" s="21" t="n">
        <f aca="false">Assumptions!$B$33/12</f>
        <v>0</v>
      </c>
      <c r="N9" s="22" t="n">
        <f aca="false">SUM(B9:M9)</f>
        <v>0</v>
      </c>
    </row>
    <row r="10" customFormat="false" ht="15" hidden="false" customHeight="false" outlineLevel="0" collapsed="false">
      <c r="A10" s="7" t="s">
        <v>95</v>
      </c>
      <c r="B10" s="23" t="n">
        <f aca="false">Assumptions!B34</f>
        <v>0</v>
      </c>
      <c r="C10" s="21" t="n">
        <f aca="false">B10*(1+Assumptions!$B$35)</f>
        <v>0</v>
      </c>
      <c r="D10" s="21" t="n">
        <f aca="false">C10*(1+Assumptions!$B$35)</f>
        <v>0</v>
      </c>
      <c r="E10" s="21" t="n">
        <f aca="false">D10*(1+Assumptions!$B$35)</f>
        <v>0</v>
      </c>
      <c r="F10" s="21" t="n">
        <f aca="false">E10*(1+Assumptions!$B$35)</f>
        <v>0</v>
      </c>
      <c r="G10" s="21" t="n">
        <f aca="false">F10*(1+Assumptions!$B$35)</f>
        <v>0</v>
      </c>
      <c r="H10" s="21" t="n">
        <f aca="false">G10*(1+Assumptions!$B$35)</f>
        <v>0</v>
      </c>
      <c r="I10" s="21" t="n">
        <f aca="false">H10*(1+Assumptions!$B$35)</f>
        <v>0</v>
      </c>
      <c r="J10" s="21" t="n">
        <f aca="false">I10*(1+Assumptions!$B$35)</f>
        <v>0</v>
      </c>
      <c r="K10" s="21" t="n">
        <f aca="false">J10*(1+Assumptions!$B$35)</f>
        <v>0</v>
      </c>
      <c r="L10" s="21" t="n">
        <f aca="false">K10*(1+Assumptions!$B$35)</f>
        <v>0</v>
      </c>
      <c r="M10" s="21" t="n">
        <f aca="false">L10*(1+Assumptions!$B$35)</f>
        <v>0</v>
      </c>
      <c r="N10" s="22" t="n">
        <f aca="false">SUM(B10:M10)</f>
        <v>0</v>
      </c>
    </row>
    <row r="11" customFormat="false" ht="15" hidden="false" customHeight="false" outlineLevel="0" collapsed="false">
      <c r="A11" s="3" t="s">
        <v>96</v>
      </c>
      <c r="B11" s="24" t="n">
        <f aca="false">SUM(B7:B10)</f>
        <v>0</v>
      </c>
      <c r="C11" s="24" t="n">
        <f aca="false">SUM(C7:C10)</f>
        <v>0</v>
      </c>
      <c r="D11" s="24" t="n">
        <f aca="false">SUM(D7:D10)</f>
        <v>0</v>
      </c>
      <c r="E11" s="24" t="n">
        <f aca="false">SUM(E7:E10)</f>
        <v>0</v>
      </c>
      <c r="F11" s="24" t="n">
        <f aca="false">SUM(F7:F10)</f>
        <v>0</v>
      </c>
      <c r="G11" s="24" t="n">
        <f aca="false">SUM(G7:G10)</f>
        <v>0</v>
      </c>
      <c r="H11" s="24" t="n">
        <f aca="false">SUM(H7:H10)</f>
        <v>0</v>
      </c>
      <c r="I11" s="24" t="n">
        <f aca="false">SUM(I7:I10)</f>
        <v>0</v>
      </c>
      <c r="J11" s="24" t="n">
        <f aca="false">SUM(J7:J10)</f>
        <v>0</v>
      </c>
      <c r="K11" s="24" t="n">
        <f aca="false">SUM(K7:K10)</f>
        <v>0</v>
      </c>
      <c r="L11" s="24" t="n">
        <f aca="false">SUM(L7:L10)</f>
        <v>0</v>
      </c>
      <c r="M11" s="24" t="n">
        <f aca="false">SUM(M7:M10)</f>
        <v>0</v>
      </c>
      <c r="N11" s="24" t="n">
        <f aca="false">SUM(B11:M11)</f>
        <v>0</v>
      </c>
    </row>
    <row r="13" customFormat="false" ht="15" hidden="false" customHeight="false" outlineLevel="0" collapsed="false">
      <c r="A13" s="3" t="s">
        <v>97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customFormat="false" ht="15" hidden="false" customHeight="false" outlineLevel="0" collapsed="false">
      <c r="A14" s="7" t="s">
        <v>98</v>
      </c>
      <c r="B14" s="21" t="n">
        <f aca="false">Assumptions!$B$10</f>
        <v>5</v>
      </c>
      <c r="C14" s="21" t="n">
        <f aca="false">Assumptions!$B$10</f>
        <v>5</v>
      </c>
      <c r="D14" s="21" t="n">
        <f aca="false">Assumptions!$B$10</f>
        <v>5</v>
      </c>
      <c r="E14" s="21" t="n">
        <f aca="false">Assumptions!$B$10</f>
        <v>5</v>
      </c>
      <c r="F14" s="21" t="n">
        <f aca="false">Assumptions!$B$10</f>
        <v>5</v>
      </c>
      <c r="G14" s="21" t="n">
        <f aca="false">Assumptions!$B$10</f>
        <v>5</v>
      </c>
      <c r="H14" s="21" t="n">
        <f aca="false">Assumptions!$B$10</f>
        <v>5</v>
      </c>
      <c r="I14" s="21" t="n">
        <f aca="false">Assumptions!$B$10</f>
        <v>5</v>
      </c>
      <c r="J14" s="21" t="n">
        <f aca="false">Assumptions!$B$10</f>
        <v>5</v>
      </c>
      <c r="K14" s="21" t="n">
        <f aca="false">Assumptions!$B$10</f>
        <v>5</v>
      </c>
      <c r="L14" s="21" t="n">
        <f aca="false">Assumptions!$B$10</f>
        <v>5</v>
      </c>
      <c r="M14" s="21" t="n">
        <f aca="false">Assumptions!$B$10</f>
        <v>5</v>
      </c>
      <c r="N14" s="22" t="n">
        <f aca="false">SUM(B14:M14)</f>
        <v>60</v>
      </c>
    </row>
    <row r="15" customFormat="false" ht="15" hidden="false" customHeight="false" outlineLevel="0" collapsed="false">
      <c r="A15" s="7" t="s">
        <v>99</v>
      </c>
      <c r="B15" s="21" t="n">
        <f aca="false">Assumptions!$B$11</f>
        <v>0</v>
      </c>
      <c r="C15" s="21" t="n">
        <f aca="false">Assumptions!$B$11</f>
        <v>0</v>
      </c>
      <c r="D15" s="21" t="n">
        <f aca="false">Assumptions!$B$11</f>
        <v>0</v>
      </c>
      <c r="E15" s="21" t="n">
        <f aca="false">Assumptions!$B$11</f>
        <v>0</v>
      </c>
      <c r="F15" s="21" t="n">
        <f aca="false">Assumptions!$B$11</f>
        <v>0</v>
      </c>
      <c r="G15" s="21" t="n">
        <f aca="false">Assumptions!$B$11</f>
        <v>0</v>
      </c>
      <c r="H15" s="21" t="n">
        <f aca="false">Assumptions!$B$11</f>
        <v>0</v>
      </c>
      <c r="I15" s="21" t="n">
        <f aca="false">Assumptions!$B$11</f>
        <v>0</v>
      </c>
      <c r="J15" s="21" t="n">
        <f aca="false">Assumptions!$B$11</f>
        <v>0</v>
      </c>
      <c r="K15" s="21" t="n">
        <f aca="false">Assumptions!$B$11</f>
        <v>0</v>
      </c>
      <c r="L15" s="21" t="n">
        <f aca="false">Assumptions!$B$11</f>
        <v>0</v>
      </c>
      <c r="M15" s="21" t="n">
        <f aca="false">Assumptions!$B$11</f>
        <v>0</v>
      </c>
      <c r="N15" s="22" t="n">
        <f aca="false">SUM(B15:M15)</f>
        <v>0</v>
      </c>
    </row>
    <row r="16" customFormat="false" ht="15" hidden="false" customHeight="false" outlineLevel="0" collapsed="false">
      <c r="A16" s="7" t="s">
        <v>100</v>
      </c>
      <c r="B16" s="21" t="n">
        <f aca="false">Assumptions!$B$12</f>
        <v>0</v>
      </c>
      <c r="C16" s="21" t="n">
        <f aca="false">Assumptions!$B$12</f>
        <v>0</v>
      </c>
      <c r="D16" s="21" t="n">
        <f aca="false">Assumptions!$B$12</f>
        <v>0</v>
      </c>
      <c r="E16" s="21" t="n">
        <f aca="false">Assumptions!$B$12</f>
        <v>0</v>
      </c>
      <c r="F16" s="21" t="n">
        <f aca="false">Assumptions!$B$12</f>
        <v>0</v>
      </c>
      <c r="G16" s="21" t="n">
        <f aca="false">Assumptions!$B$12</f>
        <v>0</v>
      </c>
      <c r="H16" s="21" t="n">
        <f aca="false">Assumptions!$B$12</f>
        <v>0</v>
      </c>
      <c r="I16" s="21" t="n">
        <f aca="false">Assumptions!$B$12</f>
        <v>0</v>
      </c>
      <c r="J16" s="21" t="n">
        <f aca="false">Assumptions!$B$12</f>
        <v>0</v>
      </c>
      <c r="K16" s="21" t="n">
        <f aca="false">Assumptions!$B$12</f>
        <v>0</v>
      </c>
      <c r="L16" s="21" t="n">
        <f aca="false">Assumptions!$B$12</f>
        <v>0</v>
      </c>
      <c r="M16" s="21" t="n">
        <f aca="false">Assumptions!$B$12</f>
        <v>0</v>
      </c>
      <c r="N16" s="22" t="n">
        <f aca="false">SUM(B16:M16)</f>
        <v>0</v>
      </c>
    </row>
    <row r="17" customFormat="false" ht="15" hidden="false" customHeight="false" outlineLevel="0" collapsed="false">
      <c r="A17" s="7" t="s">
        <v>101</v>
      </c>
      <c r="B17" s="21" t="n">
        <f aca="false">Assumptions!$B$13</f>
        <v>1.25</v>
      </c>
      <c r="C17" s="21" t="n">
        <f aca="false">Assumptions!$B$13</f>
        <v>1.25</v>
      </c>
      <c r="D17" s="21" t="n">
        <f aca="false">Assumptions!$B$13</f>
        <v>1.25</v>
      </c>
      <c r="E17" s="21" t="n">
        <f aca="false">Assumptions!$B$13</f>
        <v>1.25</v>
      </c>
      <c r="F17" s="21" t="n">
        <f aca="false">Assumptions!$B$13</f>
        <v>1.25</v>
      </c>
      <c r="G17" s="21" t="n">
        <f aca="false">Assumptions!$B$13</f>
        <v>1.25</v>
      </c>
      <c r="H17" s="21" t="n">
        <f aca="false">Assumptions!$B$13</f>
        <v>1.25</v>
      </c>
      <c r="I17" s="21" t="n">
        <f aca="false">Assumptions!$B$13</f>
        <v>1.25</v>
      </c>
      <c r="J17" s="21" t="n">
        <f aca="false">Assumptions!$B$13</f>
        <v>1.25</v>
      </c>
      <c r="K17" s="21" t="n">
        <f aca="false">Assumptions!$B$13</f>
        <v>1.25</v>
      </c>
      <c r="L17" s="21" t="n">
        <f aca="false">Assumptions!$B$13</f>
        <v>1.25</v>
      </c>
      <c r="M17" s="21" t="n">
        <f aca="false">Assumptions!$B$13</f>
        <v>1.25</v>
      </c>
      <c r="N17" s="22" t="n">
        <f aca="false">SUM(B17:M17)</f>
        <v>15</v>
      </c>
    </row>
    <row r="18" customFormat="false" ht="15" hidden="false" customHeight="false" outlineLevel="0" collapsed="false">
      <c r="A18" s="7" t="s">
        <v>39</v>
      </c>
      <c r="B18" s="21" t="n">
        <f aca="false">Assumptions!$B$14</f>
        <v>10</v>
      </c>
      <c r="C18" s="21" t="n">
        <f aca="false">Assumptions!$B$14</f>
        <v>10</v>
      </c>
      <c r="D18" s="21" t="n">
        <f aca="false">Assumptions!$B$14</f>
        <v>10</v>
      </c>
      <c r="E18" s="21" t="n">
        <f aca="false">Assumptions!$B$14</f>
        <v>10</v>
      </c>
      <c r="F18" s="21" t="n">
        <f aca="false">Assumptions!$B$14</f>
        <v>10</v>
      </c>
      <c r="G18" s="21" t="n">
        <f aca="false">Assumptions!$B$14</f>
        <v>10</v>
      </c>
      <c r="H18" s="21" t="n">
        <f aca="false">Assumptions!$B$14</f>
        <v>10</v>
      </c>
      <c r="I18" s="21" t="n">
        <f aca="false">Assumptions!$B$14</f>
        <v>10</v>
      </c>
      <c r="J18" s="21" t="n">
        <f aca="false">Assumptions!$B$14</f>
        <v>10</v>
      </c>
      <c r="K18" s="21" t="n">
        <f aca="false">Assumptions!$B$14</f>
        <v>10</v>
      </c>
      <c r="L18" s="21" t="n">
        <f aca="false">Assumptions!$B$14</f>
        <v>10</v>
      </c>
      <c r="M18" s="21" t="n">
        <f aca="false">Assumptions!$B$14</f>
        <v>10</v>
      </c>
      <c r="N18" s="22" t="n">
        <f aca="false">SUM(B18:M18)</f>
        <v>120</v>
      </c>
    </row>
    <row r="19" customFormat="false" ht="15" hidden="false" customHeight="false" outlineLevel="0" collapsed="false">
      <c r="A19" s="7" t="s">
        <v>102</v>
      </c>
      <c r="B19" s="21" t="n">
        <f aca="false">Assumptions!$B$21</f>
        <v>0</v>
      </c>
      <c r="C19" s="21" t="n">
        <f aca="false">Assumptions!$B$21</f>
        <v>0</v>
      </c>
      <c r="D19" s="21" t="n">
        <f aca="false">Assumptions!$B$21</f>
        <v>0</v>
      </c>
      <c r="E19" s="21" t="n">
        <f aca="false">Assumptions!$B$21</f>
        <v>0</v>
      </c>
      <c r="F19" s="21" t="n">
        <f aca="false">Assumptions!$B$21</f>
        <v>0</v>
      </c>
      <c r="G19" s="21" t="n">
        <f aca="false">Assumptions!$B$21</f>
        <v>0</v>
      </c>
      <c r="H19" s="21" t="n">
        <f aca="false">Assumptions!$B$21</f>
        <v>0</v>
      </c>
      <c r="I19" s="21" t="n">
        <f aca="false">Assumptions!$B$21</f>
        <v>0</v>
      </c>
      <c r="J19" s="21" t="n">
        <f aca="false">Assumptions!$B$21</f>
        <v>0</v>
      </c>
      <c r="K19" s="21" t="n">
        <f aca="false">Assumptions!$B$21</f>
        <v>0</v>
      </c>
      <c r="L19" s="21" t="n">
        <f aca="false">Assumptions!$B$21</f>
        <v>0</v>
      </c>
      <c r="M19" s="21" t="n">
        <f aca="false">Assumptions!$B$21</f>
        <v>0</v>
      </c>
      <c r="N19" s="22" t="n">
        <f aca="false">SUM(B19:M19)</f>
        <v>0</v>
      </c>
    </row>
    <row r="20" customFormat="false" ht="15" hidden="false" customHeight="false" outlineLevel="0" collapsed="false">
      <c r="A20" s="7" t="s">
        <v>103</v>
      </c>
      <c r="B20" s="21" t="n">
        <f aca="false">Assumptions!$B$26</f>
        <v>0</v>
      </c>
      <c r="C20" s="21" t="n">
        <f aca="false">Assumptions!$B$26</f>
        <v>0</v>
      </c>
      <c r="D20" s="21" t="n">
        <f aca="false">Assumptions!$B$26</f>
        <v>0</v>
      </c>
      <c r="E20" s="21" t="n">
        <f aca="false">Assumptions!$B$26</f>
        <v>0</v>
      </c>
      <c r="F20" s="21" t="n">
        <f aca="false">Assumptions!$B$26</f>
        <v>0</v>
      </c>
      <c r="G20" s="21" t="n">
        <f aca="false">Assumptions!$B$26</f>
        <v>0</v>
      </c>
      <c r="H20" s="21" t="n">
        <f aca="false">Assumptions!$B$26</f>
        <v>0</v>
      </c>
      <c r="I20" s="21" t="n">
        <f aca="false">Assumptions!$B$26</f>
        <v>0</v>
      </c>
      <c r="J20" s="21" t="n">
        <f aca="false">Assumptions!$B$26</f>
        <v>0</v>
      </c>
      <c r="K20" s="21" t="n">
        <f aca="false">Assumptions!$B$26</f>
        <v>0</v>
      </c>
      <c r="L20" s="21" t="n">
        <f aca="false">Assumptions!$B$26</f>
        <v>0</v>
      </c>
      <c r="M20" s="21" t="n">
        <f aca="false">Assumptions!$B$26</f>
        <v>0</v>
      </c>
      <c r="N20" s="22" t="n">
        <f aca="false">SUM(B20:M20)</f>
        <v>0</v>
      </c>
    </row>
    <row r="21" customFormat="false" ht="15" hidden="false" customHeight="false" outlineLevel="0" collapsed="false">
      <c r="A21" s="3" t="s">
        <v>104</v>
      </c>
      <c r="B21" s="24" t="n">
        <f aca="false">SUM(B14:B20)</f>
        <v>16.25</v>
      </c>
      <c r="C21" s="24" t="n">
        <f aca="false">SUM(C14:C20)</f>
        <v>16.25</v>
      </c>
      <c r="D21" s="24" t="n">
        <f aca="false">SUM(D14:D20)</f>
        <v>16.25</v>
      </c>
      <c r="E21" s="24" t="n">
        <f aca="false">SUM(E14:E20)</f>
        <v>16.25</v>
      </c>
      <c r="F21" s="24" t="n">
        <f aca="false">SUM(F14:F20)</f>
        <v>16.25</v>
      </c>
      <c r="G21" s="24" t="n">
        <f aca="false">SUM(G14:G20)</f>
        <v>16.25</v>
      </c>
      <c r="H21" s="24" t="n">
        <f aca="false">SUM(H14:H20)</f>
        <v>16.25</v>
      </c>
      <c r="I21" s="24" t="n">
        <f aca="false">SUM(I14:I20)</f>
        <v>16.25</v>
      </c>
      <c r="J21" s="24" t="n">
        <f aca="false">SUM(J14:J20)</f>
        <v>16.25</v>
      </c>
      <c r="K21" s="24" t="n">
        <f aca="false">SUM(K14:K20)</f>
        <v>16.25</v>
      </c>
      <c r="L21" s="24" t="n">
        <f aca="false">SUM(L14:L20)</f>
        <v>16.25</v>
      </c>
      <c r="M21" s="24" t="n">
        <f aca="false">SUM(M14:M20)</f>
        <v>16.25</v>
      </c>
      <c r="N21" s="24" t="n">
        <f aca="false">SUM(B21:M21)</f>
        <v>195</v>
      </c>
    </row>
    <row r="23" customFormat="false" ht="15" hidden="false" customHeight="false" outlineLevel="0" collapsed="false">
      <c r="A23" s="3" t="s">
        <v>105</v>
      </c>
      <c r="B23" s="24" t="n">
        <f aca="false">B11-B21</f>
        <v>-16.25</v>
      </c>
      <c r="C23" s="24" t="n">
        <f aca="false">C11-C21</f>
        <v>-16.25</v>
      </c>
      <c r="D23" s="24" t="n">
        <f aca="false">D11-D21</f>
        <v>-16.25</v>
      </c>
      <c r="E23" s="24" t="n">
        <f aca="false">E11-E21</f>
        <v>-16.25</v>
      </c>
      <c r="F23" s="24" t="n">
        <f aca="false">F11-F21</f>
        <v>-16.25</v>
      </c>
      <c r="G23" s="24" t="n">
        <f aca="false">G11-G21</f>
        <v>-16.25</v>
      </c>
      <c r="H23" s="24" t="n">
        <f aca="false">H11-H21</f>
        <v>-16.25</v>
      </c>
      <c r="I23" s="24" t="n">
        <f aca="false">I11-I21</f>
        <v>-16.25</v>
      </c>
      <c r="J23" s="24" t="n">
        <f aca="false">J11-J21</f>
        <v>-16.25</v>
      </c>
      <c r="K23" s="24" t="n">
        <f aca="false">K11-K21</f>
        <v>-16.25</v>
      </c>
      <c r="L23" s="24" t="n">
        <f aca="false">L11-L21</f>
        <v>-16.25</v>
      </c>
      <c r="M23" s="24" t="n">
        <f aca="false">M11-M21</f>
        <v>-16.25</v>
      </c>
      <c r="N23" s="24" t="n">
        <f aca="false">SUM(B23:M23)</f>
        <v>-195</v>
      </c>
    </row>
    <row r="24" customFormat="false" ht="15" hidden="false" customHeight="false" outlineLevel="0" collapsed="false">
      <c r="A24" s="7" t="s">
        <v>106</v>
      </c>
      <c r="B24" s="23" t="n">
        <f aca="false">Assumptions!B38</f>
        <v>0</v>
      </c>
      <c r="C24" s="21" t="n">
        <f aca="false">B25</f>
        <v>-16.25</v>
      </c>
      <c r="D24" s="21" t="n">
        <f aca="false">C25</f>
        <v>-32.5</v>
      </c>
      <c r="E24" s="21" t="n">
        <f aca="false">D25</f>
        <v>-48.75</v>
      </c>
      <c r="F24" s="21" t="n">
        <f aca="false">E25</f>
        <v>-65</v>
      </c>
      <c r="G24" s="21" t="n">
        <f aca="false">F25</f>
        <v>-81.25</v>
      </c>
      <c r="H24" s="21" t="n">
        <f aca="false">G25</f>
        <v>-97.5</v>
      </c>
      <c r="I24" s="21" t="n">
        <f aca="false">H25</f>
        <v>-113.75</v>
      </c>
      <c r="J24" s="21" t="n">
        <f aca="false">I25</f>
        <v>-130</v>
      </c>
      <c r="K24" s="21" t="n">
        <f aca="false">J25</f>
        <v>-146.25</v>
      </c>
      <c r="L24" s="21" t="n">
        <f aca="false">K25</f>
        <v>-162.5</v>
      </c>
      <c r="M24" s="21" t="n">
        <f aca="false">L25</f>
        <v>-178.75</v>
      </c>
    </row>
    <row r="25" customFormat="false" ht="15" hidden="false" customHeight="false" outlineLevel="0" collapsed="false">
      <c r="A25" s="11" t="s">
        <v>107</v>
      </c>
      <c r="B25" s="22" t="n">
        <f aca="false">B24+B23</f>
        <v>-16.25</v>
      </c>
      <c r="C25" s="22" t="n">
        <f aca="false">C24+C23</f>
        <v>-32.5</v>
      </c>
      <c r="D25" s="22" t="n">
        <f aca="false">D24+D23</f>
        <v>-48.75</v>
      </c>
      <c r="E25" s="22" t="n">
        <f aca="false">E24+E23</f>
        <v>-65</v>
      </c>
      <c r="F25" s="22" t="n">
        <f aca="false">F24+F23</f>
        <v>-81.25</v>
      </c>
      <c r="G25" s="22" t="n">
        <f aca="false">G24+G23</f>
        <v>-97.5</v>
      </c>
      <c r="H25" s="22" t="n">
        <f aca="false">H24+H23</f>
        <v>-113.75</v>
      </c>
      <c r="I25" s="22" t="n">
        <f aca="false">I24+I23</f>
        <v>-130</v>
      </c>
      <c r="J25" s="22" t="n">
        <f aca="false">J24+J23</f>
        <v>-146.25</v>
      </c>
      <c r="K25" s="22" t="n">
        <f aca="false">K24+K23</f>
        <v>-162.5</v>
      </c>
      <c r="L25" s="22" t="n">
        <f aca="false">L24+L23</f>
        <v>-178.75</v>
      </c>
      <c r="M25" s="22" t="n">
        <f aca="false">M24+M23</f>
        <v>-195</v>
      </c>
    </row>
    <row r="27" customFormat="false" ht="15" hidden="false" customHeight="false" outlineLevel="0" collapsed="false">
      <c r="A27" s="11" t="s">
        <v>108</v>
      </c>
      <c r="B27" s="24" t="n">
        <f aca="false">N23</f>
        <v>-195</v>
      </c>
    </row>
    <row r="28" customFormat="false" ht="15" hidden="false" customHeight="false" outlineLevel="0" collapsed="false">
      <c r="A28" s="7" t="s">
        <v>109</v>
      </c>
      <c r="B28" s="21" t="n">
        <f aca="false">N21/12</f>
        <v>16.25</v>
      </c>
    </row>
    <row r="29" customFormat="false" ht="15" hidden="false" customHeight="false" outlineLevel="0" collapsed="false">
      <c r="A29" s="7" t="s">
        <v>110</v>
      </c>
      <c r="B29" s="25" t="n">
        <f aca="false">IF((N21/12)=0,"n/a",Assumptions!B38/(N21/12))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7" t="s">
        <v>113</v>
      </c>
      <c r="B4" s="26" t="n">
        <f aca="false">Assumptions!B15+Assumptions!B21+Assumptions!B26</f>
        <v>16.25</v>
      </c>
    </row>
    <row r="5" customFormat="false" ht="15" hidden="false" customHeight="false" outlineLevel="0" collapsed="false">
      <c r="A5" s="7" t="s">
        <v>114</v>
      </c>
      <c r="B5" s="26" t="n">
        <f aca="false">Assumptions!B30</f>
        <v>3</v>
      </c>
    </row>
    <row r="6" customFormat="false" ht="15" hidden="false" customHeight="false" outlineLevel="0" collapsed="false">
      <c r="A6" s="7" t="s">
        <v>115</v>
      </c>
      <c r="B6" s="27" t="n">
        <f aca="false">IF(B5=0,"-",ROUNDUP(B4/B5,0))</f>
        <v>6</v>
      </c>
    </row>
    <row r="7" customFormat="false" ht="15" hidden="false" customHeight="false" outlineLevel="0" collapsed="false">
      <c r="A7" s="7" t="s">
        <v>116</v>
      </c>
      <c r="B7" s="18" t="n">
        <f aca="false">Assumptions!B29</f>
        <v>0</v>
      </c>
    </row>
    <row r="8" customFormat="false" ht="15" hidden="false" customHeight="false" outlineLevel="0" collapsed="false">
      <c r="A8" s="7" t="s">
        <v>117</v>
      </c>
      <c r="B8" s="19" t="n">
        <f aca="false">MAX(0,B6-B7)</f>
        <v>6</v>
      </c>
    </row>
    <row r="9" customFormat="false" ht="15" hidden="false" customHeight="false" outlineLevel="0" collapsed="false">
      <c r="A9" s="7" t="s">
        <v>118</v>
      </c>
      <c r="B9" s="19" t="n">
        <f aca="false">B4*Assumptions!B5</f>
        <v>4956.25</v>
      </c>
    </row>
    <row r="11" customFormat="false" ht="15" hidden="false" customHeight="false" outlineLevel="0" collapsed="false">
      <c r="A11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15" hidden="false" customHeight="false" outlineLevel="0" collapsed="false">
      <c r="A4" s="16" t="s">
        <v>122</v>
      </c>
      <c r="B4" s="16" t="s">
        <v>123</v>
      </c>
      <c r="C4" s="16" t="s">
        <v>124</v>
      </c>
      <c r="D4" s="16" t="s">
        <v>125</v>
      </c>
    </row>
    <row r="5" customFormat="false" ht="15" hidden="false" customHeight="false" outlineLevel="0" collapsed="false">
      <c r="A5" s="7" t="s">
        <v>126</v>
      </c>
      <c r="B5" s="28" t="n">
        <v>25</v>
      </c>
      <c r="C5" s="28" t="n">
        <v>100</v>
      </c>
      <c r="D5" s="28" t="n">
        <v>400</v>
      </c>
    </row>
    <row r="6" customFormat="false" ht="15" hidden="false" customHeight="false" outlineLevel="0" collapsed="false">
      <c r="A6" s="7" t="s">
        <v>127</v>
      </c>
      <c r="B6" s="29" t="n">
        <v>3</v>
      </c>
      <c r="C6" s="29" t="n">
        <v>3.5</v>
      </c>
      <c r="D6" s="29" t="n">
        <v>4</v>
      </c>
    </row>
    <row r="7" customFormat="false" ht="15" hidden="false" customHeight="false" outlineLevel="0" collapsed="false">
      <c r="A7" s="7" t="s">
        <v>128</v>
      </c>
      <c r="B7" s="30" t="n">
        <v>0</v>
      </c>
      <c r="C7" s="30" t="n">
        <v>600</v>
      </c>
      <c r="D7" s="30" t="n">
        <v>3000</v>
      </c>
    </row>
    <row r="8" customFormat="false" ht="15" hidden="false" customHeight="false" outlineLevel="0" collapsed="false">
      <c r="A8" s="7" t="s">
        <v>129</v>
      </c>
      <c r="B8" s="30" t="n">
        <v>0</v>
      </c>
      <c r="C8" s="30" t="n">
        <v>0</v>
      </c>
      <c r="D8" s="30" t="n">
        <v>1200</v>
      </c>
    </row>
    <row r="9" customFormat="false" ht="15" hidden="false" customHeight="false" outlineLevel="0" collapsed="false">
      <c r="A9" s="11" t="s">
        <v>130</v>
      </c>
      <c r="B9" s="24" t="n">
        <f aca="false">B5*B6*12+B7+B8</f>
        <v>900</v>
      </c>
      <c r="C9" s="24" t="n">
        <f aca="false">C5*C6*12+C7+C8</f>
        <v>4800</v>
      </c>
      <c r="D9" s="24" t="n">
        <f aca="false">D5*D6*12+D7+D8</f>
        <v>23400</v>
      </c>
    </row>
    <row r="10" customFormat="false" ht="15" hidden="false" customHeight="false" outlineLevel="0" collapsed="false">
      <c r="A10" s="7" t="s">
        <v>131</v>
      </c>
      <c r="B10" s="23" t="n">
        <f aca="false">(Assumptions!$B$15+Assumptions!$B$21+Assumptions!$B$26)*12</f>
        <v>195</v>
      </c>
      <c r="C10" s="23" t="n">
        <f aca="false">(Assumptions!$B$15+Assumptions!$B$21+Assumptions!$B$26)*12</f>
        <v>195</v>
      </c>
      <c r="D10" s="23" t="n">
        <f aca="false">(Assumptions!$B$15+Assumptions!$B$21+Assumptions!$B$26)*12</f>
        <v>195</v>
      </c>
    </row>
    <row r="11" customFormat="false" ht="15" hidden="false" customHeight="false" outlineLevel="0" collapsed="false">
      <c r="A11" s="11" t="s">
        <v>132</v>
      </c>
      <c r="B11" s="24" t="n">
        <f aca="false">B9-B10</f>
        <v>705</v>
      </c>
      <c r="C11" s="24" t="n">
        <f aca="false">C9-C10</f>
        <v>4605</v>
      </c>
      <c r="D11" s="24" t="n">
        <f aca="false">D9-D10</f>
        <v>23205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31" t="s">
        <v>135</v>
      </c>
      <c r="B4" s="31" t="s">
        <v>136</v>
      </c>
      <c r="C4" s="31" t="s">
        <v>137</v>
      </c>
      <c r="D4" s="31" t="s">
        <v>138</v>
      </c>
      <c r="E4" s="31" t="s">
        <v>139</v>
      </c>
      <c r="F4" s="31" t="s">
        <v>140</v>
      </c>
      <c r="G4" s="31" t="s">
        <v>141</v>
      </c>
      <c r="H4" s="31" t="s">
        <v>142</v>
      </c>
      <c r="I4" s="31" t="s">
        <v>143</v>
      </c>
    </row>
    <row r="5" customFormat="false" ht="15" hidden="false" customHeight="false" outlineLevel="0" collapsed="false">
      <c r="A5" s="32"/>
      <c r="B5" s="32"/>
      <c r="C5" s="33" t="s">
        <v>144</v>
      </c>
      <c r="D5" s="32"/>
      <c r="E5" s="32"/>
      <c r="F5" s="32"/>
      <c r="G5" s="32"/>
      <c r="H5" s="32"/>
      <c r="I5" s="32"/>
    </row>
    <row r="6" customFormat="false" ht="15" hidden="false" customHeight="false" outlineLevel="0" collapsed="false">
      <c r="A6" s="32"/>
      <c r="B6" s="32"/>
      <c r="C6" s="32"/>
      <c r="D6" s="32"/>
      <c r="E6" s="32"/>
      <c r="F6" s="33" t="s">
        <v>145</v>
      </c>
      <c r="G6" s="32"/>
      <c r="H6" s="32"/>
      <c r="I6" s="32"/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2"/>
      <c r="H7" s="32"/>
      <c r="I7" s="32"/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2"/>
      <c r="H8" s="32"/>
      <c r="I8" s="32"/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2"/>
      <c r="H9" s="32"/>
      <c r="I9" s="32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2"/>
      <c r="H10" s="32"/>
      <c r="I10" s="32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2"/>
      <c r="H11" s="32"/>
      <c r="I11" s="32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2"/>
      <c r="H12" s="32"/>
      <c r="I12" s="32"/>
    </row>
    <row r="14" customFormat="false" ht="15" hidden="false" customHeight="false" outlineLevel="0" collapsed="false">
      <c r="D14" s="11" t="s">
        <v>146</v>
      </c>
      <c r="E14" s="22" t="n">
        <f aca="false">SUMIF(F5:F12,"received",E5:E12)</f>
        <v>0</v>
      </c>
    </row>
    <row r="15" customFormat="false" ht="15" hidden="false" customHeight="false" outlineLevel="0" collapsed="false">
      <c r="D15" s="11" t="s">
        <v>147</v>
      </c>
      <c r="E15" s="22" t="n">
        <f aca="false">SUMIF(F5:F12,"committed",E5:E12)</f>
        <v>0</v>
      </c>
    </row>
    <row r="17" customFormat="false" ht="15" hidden="false" customHeight="false" outlineLevel="0" collapsed="false">
      <c r="A17" s="2" t="s">
        <v>148</v>
      </c>
    </row>
    <row r="18" customFormat="false" ht="15" hidden="false" customHeight="false" outlineLevel="0" collapsed="false">
      <c r="A18" s="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2026-06-19T11:23:19Z</dcterms:created>
  <dc:creator>openpyxl</dc:creator>
  <dc:description/>
  <dc:language>en-US</dc:language>
  <cp:lastModifiedBy/>
  <dcterms:modified xsi:type="dcterms:W3CDTF">2026-06-19T11:23:19Z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